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Dineshkumar\Downloads\"/>
    </mc:Choice>
  </mc:AlternateContent>
  <xr:revisionPtr revIDLastSave="0" documentId="13_ncr:1_{81A7A70E-A42D-49A0-A6CD-842D815721D6}" xr6:coauthVersionLast="47" xr6:coauthVersionMax="47" xr10:uidLastSave="{00000000-0000-0000-0000-000000000000}"/>
  <bookViews>
    <workbookView xWindow="-120" yWindow="-120" windowWidth="20730" windowHeight="11040" tabRatio="659" xr2:uid="{00000000-000D-0000-FFFF-FFFF00000000}"/>
  </bookViews>
  <sheets>
    <sheet name="portal frame" sheetId="11" r:id="rId1"/>
    <sheet name="from author" sheetId="13" r:id="rId2"/>
  </sheets>
  <definedNames>
    <definedName name="myrange">'portal frame'!$B$62:$AC$63</definedName>
    <definedName name="_xlnm.Print_Area" localSheetId="0">'portal frame'!$B$2:$AC$63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3" i="11" l="1"/>
  <c r="J47" i="11" s="1"/>
  <c r="AI9" i="11"/>
  <c r="AG12" i="11"/>
  <c r="AG11" i="11"/>
  <c r="AI3" i="11" l="1"/>
  <c r="M43" i="11"/>
  <c r="M44" i="11" s="1"/>
  <c r="AL3" i="11" s="1"/>
  <c r="J48" i="11" l="1"/>
  <c r="AI11" i="11" s="1"/>
  <c r="AI10" i="11"/>
  <c r="Z5" i="11"/>
  <c r="J49" i="11" l="1"/>
  <c r="AI12"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ziom</author>
  </authors>
  <commentList>
    <comment ref="M32" authorId="0" shapeId="0" xr:uid="{00000000-0006-0000-0000-000001000000}">
      <text>
        <r>
          <rPr>
            <b/>
            <sz val="9"/>
            <color indexed="81"/>
            <rFont val="Tahoma"/>
            <family val="2"/>
          </rPr>
          <t>CELL LOCKED IN FREE LITE VERSION OF THE SPREADSHEET</t>
        </r>
      </text>
    </comment>
  </commentList>
</comments>
</file>

<file path=xl/sharedStrings.xml><?xml version="1.0" encoding="utf-8"?>
<sst xmlns="http://schemas.openxmlformats.org/spreadsheetml/2006/main" count="445" uniqueCount="104">
  <si>
    <t>A</t>
  </si>
  <si>
    <t>TEST PROJECT</t>
  </si>
  <si>
    <t>Revision</t>
  </si>
  <si>
    <t>Page:</t>
  </si>
  <si>
    <t>Job No:</t>
  </si>
  <si>
    <t>Date:</t>
  </si>
  <si>
    <t xml:space="preserve">Member: </t>
  </si>
  <si>
    <t>Prepared By:</t>
  </si>
  <si>
    <t>DJ</t>
  </si>
  <si>
    <t>Checked By:</t>
  </si>
  <si>
    <r>
      <t xml:space="preserve">  YourSpreadsheets</t>
    </r>
    <r>
      <rPr>
        <b/>
        <sz val="13"/>
        <rFont val="Calibri"/>
        <family val="2"/>
      </rPr>
      <t>™</t>
    </r>
    <r>
      <rPr>
        <b/>
        <sz val="13"/>
        <rFont val="Arial"/>
        <family val="2"/>
        <charset val="238"/>
      </rPr>
      <t xml:space="preserve">
</t>
    </r>
    <r>
      <rPr>
        <sz val="10"/>
        <rFont val="Arial"/>
        <family val="2"/>
        <charset val="238"/>
      </rPr>
      <t xml:space="preserve">   2nd Floor, 52 Marcus Hill, London
   www.YourSpreadsheets.co.uk
   Tel: 020 7542 8734</t>
    </r>
  </si>
  <si>
    <r>
      <t xml:space="preserve">Spreadsheet provided by: </t>
    </r>
    <r>
      <rPr>
        <b/>
        <sz val="11"/>
        <rFont val="Calibri"/>
        <family val="2"/>
        <scheme val="minor"/>
      </rPr>
      <t>www.YourSpreadsheets.co.uk</t>
    </r>
  </si>
  <si>
    <t>DIAGRAM:</t>
  </si>
  <si>
    <t>For latest updates and news visit:</t>
  </si>
  <si>
    <t>Contact me at:</t>
  </si>
  <si>
    <t>www.YourSpreadsheets.co.uk</t>
  </si>
  <si>
    <t>info@yourspreadsheets.co.uk</t>
  </si>
  <si>
    <r>
      <t xml:space="preserve">© 2016 </t>
    </r>
    <r>
      <rPr>
        <b/>
        <sz val="10"/>
        <rFont val="Arial CE"/>
      </rPr>
      <t>Damian Janicki</t>
    </r>
  </si>
  <si>
    <r>
      <t xml:space="preserve">© 2016 </t>
    </r>
    <r>
      <rPr>
        <b/>
        <sz val="11"/>
        <rFont val="Calibri"/>
        <family val="2"/>
        <scheme val="minor"/>
      </rPr>
      <t>Damian Janicki</t>
    </r>
  </si>
  <si>
    <r>
      <t xml:space="preserve">General information:
</t>
    </r>
    <r>
      <rPr>
        <sz val="10"/>
        <rFont val="Arial CE"/>
      </rPr>
      <t>Note: This spreadsheet contains macros.</t>
    </r>
  </si>
  <si>
    <r>
      <t xml:space="preserve">calculations are based on </t>
    </r>
    <r>
      <rPr>
        <b/>
        <sz val="11"/>
        <rFont val="Calibri"/>
        <family val="2"/>
        <scheme val="minor"/>
      </rPr>
      <t>SCI Publication P252</t>
    </r>
  </si>
  <si>
    <t>PORTAL FRAME NO 1</t>
  </si>
  <si>
    <t>NOTES:</t>
  </si>
  <si>
    <t>LOADING:</t>
  </si>
  <si>
    <t>PORTAL FRAME DATA:</t>
  </si>
  <si>
    <t>Restrained stanchions:</t>
  </si>
  <si>
    <r>
      <t>Sheeting and insulation [</t>
    </r>
    <r>
      <rPr>
        <i/>
        <sz val="11"/>
        <rFont val="Calibri"/>
        <family val="2"/>
        <scheme val="minor"/>
      </rPr>
      <t>kN/m</t>
    </r>
    <r>
      <rPr>
        <i/>
        <vertAlign val="superscript"/>
        <sz val="11"/>
        <rFont val="Calibri"/>
        <family val="2"/>
        <scheme val="minor"/>
      </rPr>
      <t>2</t>
    </r>
    <r>
      <rPr>
        <sz val="11"/>
        <rFont val="Calibri"/>
        <family val="2"/>
        <scheme val="minor"/>
      </rPr>
      <t>] =</t>
    </r>
  </si>
  <si>
    <r>
      <t>Purlins [</t>
    </r>
    <r>
      <rPr>
        <i/>
        <sz val="11"/>
        <rFont val="Calibri"/>
        <family val="2"/>
        <scheme val="minor"/>
      </rPr>
      <t>kN/m</t>
    </r>
    <r>
      <rPr>
        <i/>
        <vertAlign val="superscript"/>
        <sz val="11"/>
        <rFont val="Calibri"/>
        <family val="2"/>
        <scheme val="minor"/>
      </rPr>
      <t>2</t>
    </r>
    <r>
      <rPr>
        <sz val="11"/>
        <rFont val="Calibri"/>
        <family val="2"/>
        <scheme val="minor"/>
      </rPr>
      <t>] =</t>
    </r>
  </si>
  <si>
    <r>
      <t>Frame self weight [</t>
    </r>
    <r>
      <rPr>
        <i/>
        <sz val="11"/>
        <rFont val="Calibri"/>
        <family val="2"/>
        <scheme val="minor"/>
      </rPr>
      <t>kN/m</t>
    </r>
    <r>
      <rPr>
        <i/>
        <vertAlign val="superscript"/>
        <sz val="11"/>
        <rFont val="Calibri"/>
        <family val="2"/>
        <scheme val="minor"/>
      </rPr>
      <t>2</t>
    </r>
    <r>
      <rPr>
        <sz val="11"/>
        <rFont val="Calibri"/>
        <family val="2"/>
        <scheme val="minor"/>
      </rPr>
      <t>] =</t>
    </r>
  </si>
  <si>
    <r>
      <t>Services [</t>
    </r>
    <r>
      <rPr>
        <i/>
        <sz val="11"/>
        <rFont val="Calibri"/>
        <family val="2"/>
        <scheme val="minor"/>
      </rPr>
      <t>kN/m</t>
    </r>
    <r>
      <rPr>
        <i/>
        <vertAlign val="superscript"/>
        <sz val="11"/>
        <rFont val="Calibri"/>
        <family val="2"/>
        <scheme val="minor"/>
      </rPr>
      <t>2</t>
    </r>
    <r>
      <rPr>
        <sz val="11"/>
        <rFont val="Calibri"/>
        <family val="2"/>
        <scheme val="minor"/>
      </rPr>
      <t>] =</t>
    </r>
  </si>
  <si>
    <r>
      <t>Imposed Load (snow) [</t>
    </r>
    <r>
      <rPr>
        <i/>
        <sz val="11"/>
        <rFont val="Calibri"/>
        <family val="2"/>
        <scheme val="minor"/>
      </rPr>
      <t>kN/m</t>
    </r>
    <r>
      <rPr>
        <i/>
        <vertAlign val="superscript"/>
        <sz val="11"/>
        <rFont val="Calibri"/>
        <family val="2"/>
        <scheme val="minor"/>
      </rPr>
      <t>2</t>
    </r>
    <r>
      <rPr>
        <sz val="11"/>
        <rFont val="Calibri"/>
        <family val="2"/>
        <scheme val="minor"/>
      </rPr>
      <t>] =</t>
    </r>
  </si>
  <si>
    <r>
      <t>Other [</t>
    </r>
    <r>
      <rPr>
        <i/>
        <sz val="11"/>
        <rFont val="Calibri"/>
        <family val="2"/>
        <scheme val="minor"/>
      </rPr>
      <t>kN/m</t>
    </r>
    <r>
      <rPr>
        <i/>
        <vertAlign val="superscript"/>
        <sz val="11"/>
        <rFont val="Calibri"/>
        <family val="2"/>
        <scheme val="minor"/>
      </rPr>
      <t>2</t>
    </r>
    <r>
      <rPr>
        <sz val="11"/>
        <rFont val="Calibri"/>
        <family val="2"/>
        <scheme val="minor"/>
      </rPr>
      <t>] =</t>
    </r>
  </si>
  <si>
    <r>
      <t>Span of frame 'L</t>
    </r>
    <r>
      <rPr>
        <sz val="11"/>
        <color theme="1"/>
        <rFont val="Calibri"/>
        <family val="2"/>
        <scheme val="minor"/>
      </rPr>
      <t>' [</t>
    </r>
    <r>
      <rPr>
        <i/>
        <sz val="11"/>
        <color theme="1"/>
        <rFont val="Calibri"/>
        <family val="2"/>
        <scheme val="minor"/>
      </rPr>
      <t>m</t>
    </r>
    <r>
      <rPr>
        <sz val="11"/>
        <color theme="1"/>
        <rFont val="Calibri"/>
        <family val="2"/>
        <scheme val="minor"/>
      </rPr>
      <t>] =</t>
    </r>
  </si>
  <si>
    <r>
      <t>Eaves height 'H</t>
    </r>
    <r>
      <rPr>
        <sz val="11"/>
        <color theme="1"/>
        <rFont val="Calibri"/>
        <family val="2"/>
        <scheme val="minor"/>
      </rPr>
      <t>' [</t>
    </r>
    <r>
      <rPr>
        <i/>
        <sz val="11"/>
        <color theme="1"/>
        <rFont val="Calibri"/>
        <family val="2"/>
        <scheme val="minor"/>
      </rPr>
      <t>m</t>
    </r>
    <r>
      <rPr>
        <sz val="11"/>
        <color theme="1"/>
        <rFont val="Calibri"/>
        <family val="2"/>
        <scheme val="minor"/>
      </rPr>
      <t>] =</t>
    </r>
  </si>
  <si>
    <r>
      <t>Frame spacing 'S</t>
    </r>
    <r>
      <rPr>
        <sz val="11"/>
        <color theme="1"/>
        <rFont val="Calibri"/>
        <family val="2"/>
        <scheme val="minor"/>
      </rPr>
      <t>' [</t>
    </r>
    <r>
      <rPr>
        <i/>
        <sz val="11"/>
        <color theme="1"/>
        <rFont val="Calibri"/>
        <family val="2"/>
        <scheme val="minor"/>
      </rPr>
      <t>m</t>
    </r>
    <r>
      <rPr>
        <sz val="11"/>
        <color theme="1"/>
        <rFont val="Calibri"/>
        <family val="2"/>
        <scheme val="minor"/>
      </rPr>
      <t>] =</t>
    </r>
  </si>
  <si>
    <t>Yes</t>
  </si>
  <si>
    <r>
      <t>Total factored unit load [</t>
    </r>
    <r>
      <rPr>
        <i/>
        <sz val="11"/>
        <rFont val="Calibri"/>
        <family val="2"/>
        <scheme val="minor"/>
      </rPr>
      <t>kN/m</t>
    </r>
    <r>
      <rPr>
        <i/>
        <vertAlign val="superscript"/>
        <sz val="11"/>
        <rFont val="Calibri"/>
        <family val="2"/>
        <scheme val="minor"/>
      </rPr>
      <t>2</t>
    </r>
    <r>
      <rPr>
        <sz val="11"/>
        <rFont val="Calibri"/>
        <family val="2"/>
        <scheme val="minor"/>
      </rPr>
      <t>]</t>
    </r>
    <r>
      <rPr>
        <sz val="11"/>
        <color theme="1"/>
        <rFont val="Calibri"/>
        <family val="2"/>
        <scheme val="minor"/>
      </rPr>
      <t xml:space="preserve"> =</t>
    </r>
  </si>
  <si>
    <r>
      <t>Total factored load on rafter [</t>
    </r>
    <r>
      <rPr>
        <i/>
        <sz val="11"/>
        <rFont val="Calibri"/>
        <family val="2"/>
        <scheme val="minor"/>
      </rPr>
      <t>kN/m run</t>
    </r>
    <r>
      <rPr>
        <sz val="11"/>
        <rFont val="Calibri"/>
        <family val="2"/>
        <scheme val="minor"/>
      </rPr>
      <t>]</t>
    </r>
    <r>
      <rPr>
        <sz val="11"/>
        <color theme="1"/>
        <rFont val="Calibri"/>
        <family val="2"/>
        <scheme val="minor"/>
      </rPr>
      <t xml:space="preserve"> =</t>
    </r>
  </si>
  <si>
    <t>SUGGESTED MEMBER SIZES:</t>
  </si>
  <si>
    <t>Rafter:</t>
  </si>
  <si>
    <t>Stanchion:</t>
  </si>
  <si>
    <t>254×102×22 UB</t>
  </si>
  <si>
    <t>356×127×33 UB</t>
  </si>
  <si>
    <t>406×140×39 UB</t>
  </si>
  <si>
    <t>406×140×46 UB</t>
  </si>
  <si>
    <t>406×178×54 UB</t>
  </si>
  <si>
    <t>406×178×60 UB</t>
  </si>
  <si>
    <t>457×191×67 UB</t>
  </si>
  <si>
    <t>457×191×74 UB</t>
  </si>
  <si>
    <t>305×165×40 UB</t>
  </si>
  <si>
    <t>356×171×51 UB</t>
  </si>
  <si>
    <t>533×210×82 UB</t>
  </si>
  <si>
    <t>533×210×92 UB</t>
  </si>
  <si>
    <t>610×229×101 UB</t>
  </si>
  <si>
    <t>610×229×113 UB</t>
  </si>
  <si>
    <t>686×254×125 UB</t>
  </si>
  <si>
    <t>762×267×147 UB</t>
  </si>
  <si>
    <t>762×267×173 UB</t>
  </si>
  <si>
    <t>838×292×194 UB</t>
  </si>
  <si>
    <t>305×102×25 UB</t>
  </si>
  <si>
    <t>356×171×45 UB</t>
  </si>
  <si>
    <t>686×254×140 UB</t>
  </si>
  <si>
    <t>Rafter</t>
  </si>
  <si>
    <t>305×102×28 UB</t>
  </si>
  <si>
    <t>rafter load</t>
  </si>
  <si>
    <t>eaves height</t>
  </si>
  <si>
    <t>Restrained stanchion</t>
  </si>
  <si>
    <t>356×141×45 UB</t>
  </si>
  <si>
    <t>838×292×176 UB</t>
  </si>
  <si>
    <t>Unrestrained stanchion</t>
  </si>
  <si>
    <t>914×305×224 UB</t>
  </si>
  <si>
    <t>836×292×176 UB</t>
  </si>
  <si>
    <t>914×305×253 UB</t>
  </si>
  <si>
    <t>914×305×289 UB</t>
  </si>
  <si>
    <t>914×305×201 UB</t>
  </si>
  <si>
    <t>Eaves height</t>
  </si>
  <si>
    <t>Rafter load range</t>
  </si>
  <si>
    <t>Eaves height range</t>
  </si>
  <si>
    <t>Span range</t>
  </si>
  <si>
    <t>SPAN</t>
  </si>
  <si>
    <t>outside the scope</t>
  </si>
  <si>
    <t>Haunch:</t>
  </si>
  <si>
    <t>Haunch</t>
  </si>
  <si>
    <t>254×102</t>
  </si>
  <si>
    <t>305×102</t>
  </si>
  <si>
    <t>356×127</t>
  </si>
  <si>
    <t>406×140</t>
  </si>
  <si>
    <t>406×178</t>
  </si>
  <si>
    <t>457×191</t>
  </si>
  <si>
    <t>533×210</t>
  </si>
  <si>
    <t>610×229</t>
  </si>
  <si>
    <t>686×254</t>
  </si>
  <si>
    <t>Span</t>
  </si>
  <si>
    <t>Restraints</t>
  </si>
  <si>
    <t>Stanchion</t>
  </si>
  <si>
    <t>Hunch</t>
  </si>
  <si>
    <t>Spacing</t>
  </si>
  <si>
    <r>
      <t>This spreadsheet is based on Appendix A in SCI Publication P252: Design of single-span steel portal frames to BS 5950-1:2000 - preliminary design.
Changelog:
07.08.2016 - v.1.0.</t>
    </r>
    <r>
      <rPr>
        <sz val="10"/>
        <rFont val="Arial CE"/>
      </rPr>
      <t xml:space="preserve"> - official release of the spreadsheet.</t>
    </r>
  </si>
  <si>
    <r>
      <t>1) Wind load is based on ground roughness category 2 with a basic wind speed of up to 52m/s. Where dominant openings exist the results should be treated with caution;
2) Steel grade is S275;
3) Haunch length is 10% of the span of the frame;
4) Roof pitch is 6</t>
    </r>
    <r>
      <rPr>
        <sz val="10"/>
        <rFont val="Calibri"/>
        <family val="2"/>
      </rPr>
      <t>°</t>
    </r>
    <r>
      <rPr>
        <sz val="8.5"/>
        <rFont val="Calibri"/>
        <family val="2"/>
      </rPr>
      <t>;</t>
    </r>
    <r>
      <rPr>
        <sz val="10"/>
        <rFont val="Calibri"/>
        <family val="2"/>
        <scheme val="minor"/>
      </rPr>
      <t xml:space="preserve">
5) Rafter load is the total factored dead load (including self weight) and factored imposed load;
6) Given member sizes are suitable for rapid preliminary design or for estimating purposes only;
7) Results can be used for multiple span frames of equal or unequal spans provided a suitable valley column is used (not covered);
8) Calculations are based on Appendix A in SCI Publication P252: Design of single-span steel portal frames to BS 5950-1:2000</t>
    </r>
  </si>
  <si>
    <r>
      <t xml:space="preserve">Version: </t>
    </r>
    <r>
      <rPr>
        <b/>
        <sz val="11"/>
        <rFont val="Calibri"/>
        <family val="2"/>
        <scheme val="minor"/>
      </rPr>
      <t>1.0. - FREE LITE VERSION</t>
    </r>
  </si>
  <si>
    <r>
      <t xml:space="preserve">Version: </t>
    </r>
    <r>
      <rPr>
        <b/>
        <sz val="10"/>
        <rFont val="Arial CE"/>
      </rPr>
      <t>1.0. - FREE LITE VERSION</t>
    </r>
  </si>
  <si>
    <r>
      <rPr>
        <sz val="10"/>
        <rFont val="Arial CE"/>
      </rPr>
      <t xml:space="preserve">The Author takes no liability for use of this spreadsheet and gives no guarantee that it is error free. 
In no event shall the Author be responsible for any special, incidental or consequential damages whatsoever arising from the use of this spreadsheet, even if the Author has been advised of the possibility of such damage.
This spreadsheet is a freeware and can be distributed freely but only in its original form.
Reverse-engineering, decompiling or disassembling of this spreadsheet is not allowable.
By using this spreadsheet you understand and agree with the above terms and conditions. You also acknowledge that you do not become the owner of this spreadsheet.
</t>
    </r>
    <r>
      <rPr>
        <b/>
        <sz val="10"/>
        <rFont val="Arial CE"/>
      </rPr>
      <t>Damian Janicki</t>
    </r>
  </si>
  <si>
    <r>
      <t xml:space="preserve">This is a </t>
    </r>
    <r>
      <rPr>
        <b/>
        <sz val="10"/>
        <rFont val="Arial CE"/>
      </rPr>
      <t>Free Lite</t>
    </r>
    <r>
      <rPr>
        <sz val="10"/>
        <rFont val="Arial CE"/>
      </rPr>
      <t xml:space="preserve"> Version. The full version of the spreadsheet allows to:
- Input your company information, change logo and change header information
- Change applied axial load
- Change column heights in x-axis etc</t>
    </r>
  </si>
  <si>
    <t>30m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</si>
</sst>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 #,##0.00_-;_-* &quot;-&quot;??_-;_-@_-"/>
    <numFmt numFmtId="165" formatCode="0.0"/>
    <numFmt numFmtId="166" formatCode="00"/>
    <numFmt numFmtId="167" formatCode="dd/mm/yyyy;@"/>
    <numFmt numFmtId="168" formatCode="[$-415]d/mmm/yyyy;@"/>
    <numFmt numFmtId="169" formatCode="#.##&quot;x&quot;"/>
  </numFmts>
  <fonts count="27">
    <font>
      <sz val="11"/>
      <color theme="1"/>
      <name val="Calibri"/>
      <family val="2"/>
      <scheme val="minor"/>
    </font>
    <font>
      <sz val="11"/>
      <name val="Calibri"/>
      <family val="2"/>
      <charset val="238"/>
    </font>
    <font>
      <i/>
      <sz val="12"/>
      <name val="Cambria"/>
      <family val="1"/>
      <charset val="238"/>
    </font>
    <font>
      <sz val="11"/>
      <name val="Calibri"/>
      <family val="2"/>
      <charset val="238"/>
      <scheme val="minor"/>
    </font>
    <font>
      <i/>
      <sz val="12"/>
      <name val="Calibri"/>
      <family val="2"/>
      <charset val="238"/>
    </font>
    <font>
      <sz val="10"/>
      <name val="Arial"/>
      <family val="2"/>
      <charset val="238"/>
    </font>
    <font>
      <sz val="9"/>
      <name val="Geneva"/>
    </font>
    <font>
      <sz val="10"/>
      <name val="Arial CE"/>
      <charset val="238"/>
    </font>
    <font>
      <b/>
      <sz val="12"/>
      <name val="Arial"/>
      <family val="2"/>
      <charset val="238"/>
    </font>
    <font>
      <b/>
      <sz val="13"/>
      <name val="Arial"/>
      <family val="2"/>
      <charset val="238"/>
    </font>
    <font>
      <u/>
      <sz val="10"/>
      <color indexed="12"/>
      <name val="Arial CE"/>
      <charset val="238"/>
    </font>
    <font>
      <sz val="10"/>
      <name val="Calibri"/>
      <family val="2"/>
      <scheme val="minor"/>
    </font>
    <font>
      <b/>
      <sz val="13"/>
      <name val="Calibri"/>
      <family val="2"/>
    </font>
    <font>
      <b/>
      <sz val="13"/>
      <name val="Calibri"/>
      <family val="2"/>
      <scheme val="minor"/>
    </font>
    <font>
      <b/>
      <sz val="11"/>
      <name val="Calibri"/>
      <family val="2"/>
      <scheme val="minor"/>
    </font>
    <font>
      <sz val="11"/>
      <name val="Calibri"/>
      <family val="2"/>
      <scheme val="minor"/>
    </font>
    <font>
      <u/>
      <sz val="11"/>
      <color indexed="12"/>
      <name val="Calibri"/>
      <family val="2"/>
      <scheme val="minor"/>
    </font>
    <font>
      <i/>
      <sz val="11"/>
      <name val="Calibri"/>
      <family val="2"/>
      <scheme val="minor"/>
    </font>
    <font>
      <b/>
      <sz val="11"/>
      <color rgb="FF0000CC"/>
      <name val="Calibri"/>
      <family val="2"/>
      <scheme val="minor"/>
    </font>
    <font>
      <i/>
      <vertAlign val="superscript"/>
      <sz val="11"/>
      <name val="Calibri"/>
      <family val="2"/>
      <scheme val="minor"/>
    </font>
    <font>
      <b/>
      <sz val="10"/>
      <name val="Arial CE"/>
    </font>
    <font>
      <b/>
      <sz val="10"/>
      <name val="Arial CE"/>
      <charset val="238"/>
    </font>
    <font>
      <sz val="10"/>
      <name val="Arial CE"/>
    </font>
    <font>
      <i/>
      <sz val="11"/>
      <color theme="1"/>
      <name val="Calibri"/>
      <family val="2"/>
      <scheme val="minor"/>
    </font>
    <font>
      <sz val="10"/>
      <name val="Calibri"/>
      <family val="2"/>
    </font>
    <font>
      <sz val="8.5"/>
      <name val="Calibri"/>
      <family val="2"/>
    </font>
    <font>
      <b/>
      <sz val="9"/>
      <color indexed="81"/>
      <name val="Tahoma"/>
      <family val="2"/>
    </font>
  </fonts>
  <fills count="7">
    <fill>
      <patternFill patternType="none"/>
    </fill>
    <fill>
      <patternFill patternType="gray125"/>
    </fill>
    <fill>
      <patternFill patternType="solid">
        <fgColor theme="0" tint="-4.9989318521683403E-2"/>
        <bgColor indexed="64"/>
      </patternFill>
    </fill>
    <fill>
      <patternFill patternType="solid">
        <fgColor indexed="22"/>
        <bgColor indexed="64"/>
      </patternFill>
    </fill>
    <fill>
      <patternFill patternType="solid">
        <fgColor rgb="FFFFFFCC"/>
        <bgColor indexed="64"/>
      </patternFill>
    </fill>
    <fill>
      <patternFill patternType="solid">
        <fgColor theme="0" tint="-0.249977111117893"/>
        <bgColor indexed="64"/>
      </patternFill>
    </fill>
    <fill>
      <patternFill patternType="solid">
        <fgColor rgb="FFCCFF33"/>
        <bgColor indexed="64"/>
      </patternFill>
    </fill>
  </fills>
  <borders count="20">
    <border>
      <left/>
      <right/>
      <top/>
      <bottom/>
      <diagonal/>
    </border>
    <border>
      <left style="hair">
        <color indexed="64"/>
      </left>
      <right style="hair">
        <color indexed="64"/>
      </right>
      <top style="hair">
        <color indexed="64"/>
      </top>
      <bottom style="hair">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thin">
        <color indexed="64"/>
      </left>
      <right/>
      <top/>
      <bottom style="medium">
        <color indexed="64"/>
      </bottom>
      <diagonal/>
    </border>
    <border>
      <left style="thin">
        <color indexed="64"/>
      </left>
      <right/>
      <top/>
      <bottom style="thin">
        <color indexed="64"/>
      </bottom>
      <diagonal/>
    </border>
    <border>
      <left/>
      <right style="thin">
        <color auto="1"/>
      </right>
      <top/>
      <bottom style="thin">
        <color auto="1"/>
      </bottom>
      <diagonal/>
    </border>
  </borders>
  <cellStyleXfs count="12">
    <xf numFmtId="0" fontId="0" fillId="0" borderId="0"/>
    <xf numFmtId="0" fontId="1" fillId="0" borderId="0"/>
    <xf numFmtId="0" fontId="2" fillId="0" borderId="0" applyNumberFormat="0" applyFill="0" applyBorder="0" applyAlignment="0" applyProtection="0"/>
    <xf numFmtId="0" fontId="3" fillId="2" borderId="1" applyNumberFormat="0" applyFont="0" applyAlignment="0" applyProtection="0">
      <alignment horizontal="center" vertical="center"/>
    </xf>
    <xf numFmtId="0" fontId="1" fillId="0" borderId="0"/>
    <xf numFmtId="0" fontId="4" fillId="0" borderId="0" applyNumberFormat="0" applyFill="0" applyBorder="0" applyAlignment="0" applyProtection="0"/>
    <xf numFmtId="0" fontId="5" fillId="0" borderId="0"/>
    <xf numFmtId="9" fontId="5" fillId="0" borderId="0" applyFont="0" applyFill="0" applyBorder="0" applyAlignment="0" applyProtection="0"/>
    <xf numFmtId="0" fontId="6" fillId="0" borderId="0"/>
    <xf numFmtId="164" fontId="6" fillId="0" borderId="0" applyFont="0" applyFill="0" applyBorder="0" applyAlignment="0" applyProtection="0"/>
    <xf numFmtId="0" fontId="7" fillId="0" borderId="0"/>
    <xf numFmtId="0" fontId="10" fillId="0" borderId="0" applyNumberFormat="0" applyFill="0" applyBorder="0" applyAlignment="0" applyProtection="0">
      <alignment vertical="top"/>
      <protection locked="0"/>
    </xf>
  </cellStyleXfs>
  <cellXfs count="136">
    <xf numFmtId="0" fontId="0" fillId="0" borderId="0" xfId="0"/>
    <xf numFmtId="0" fontId="11" fillId="3" borderId="0" xfId="10" applyFont="1" applyFill="1" applyProtection="1">
      <protection hidden="1"/>
    </xf>
    <xf numFmtId="0" fontId="15" fillId="0" borderId="7" xfId="10" applyFont="1" applyBorder="1" applyAlignment="1" applyProtection="1">
      <alignment vertical="center"/>
      <protection hidden="1"/>
    </xf>
    <xf numFmtId="0" fontId="16" fillId="0" borderId="0" xfId="11" applyFont="1" applyFill="1" applyBorder="1" applyAlignment="1" applyProtection="1">
      <alignment vertical="center"/>
      <protection hidden="1"/>
    </xf>
    <xf numFmtId="0" fontId="15" fillId="0" borderId="0" xfId="10" applyFont="1" applyAlignment="1" applyProtection="1">
      <alignment vertical="center"/>
      <protection hidden="1"/>
    </xf>
    <xf numFmtId="2" fontId="15" fillId="0" borderId="0" xfId="10" applyNumberFormat="1" applyFont="1" applyAlignment="1" applyProtection="1">
      <alignment vertical="center"/>
      <protection hidden="1"/>
    </xf>
    <xf numFmtId="2" fontId="15" fillId="0" borderId="2" xfId="10" applyNumberFormat="1" applyFont="1" applyBorder="1" applyAlignment="1" applyProtection="1">
      <alignment vertical="center"/>
      <protection hidden="1"/>
    </xf>
    <xf numFmtId="2" fontId="15" fillId="3" borderId="0" xfId="10" applyNumberFormat="1" applyFont="1" applyFill="1" applyProtection="1">
      <protection hidden="1"/>
    </xf>
    <xf numFmtId="0" fontId="15" fillId="3" borderId="0" xfId="10" applyFont="1" applyFill="1" applyProtection="1">
      <protection hidden="1"/>
    </xf>
    <xf numFmtId="2" fontId="15" fillId="0" borderId="2" xfId="10" applyNumberFormat="1" applyFont="1" applyBorder="1" applyAlignment="1" applyProtection="1">
      <alignment horizontal="left" vertical="center"/>
      <protection hidden="1"/>
    </xf>
    <xf numFmtId="2" fontId="15" fillId="0" borderId="2" xfId="10" applyNumberFormat="1" applyFont="1" applyBorder="1" applyAlignment="1" applyProtection="1">
      <alignment horizontal="right" vertical="center"/>
      <protection hidden="1"/>
    </xf>
    <xf numFmtId="2" fontId="15" fillId="3" borderId="0" xfId="10" applyNumberFormat="1" applyFont="1" applyFill="1" applyAlignment="1" applyProtection="1">
      <alignment horizontal="right"/>
      <protection hidden="1"/>
    </xf>
    <xf numFmtId="0" fontId="15" fillId="0" borderId="17" xfId="10" applyFont="1" applyBorder="1" applyProtection="1">
      <protection hidden="1"/>
    </xf>
    <xf numFmtId="2" fontId="15" fillId="0" borderId="4" xfId="10" applyNumberFormat="1" applyFont="1" applyBorder="1" applyProtection="1">
      <protection hidden="1"/>
    </xf>
    <xf numFmtId="0" fontId="15" fillId="3" borderId="0" xfId="10" applyFont="1" applyFill="1" applyAlignment="1" applyProtection="1">
      <alignment horizontal="right"/>
      <protection hidden="1"/>
    </xf>
    <xf numFmtId="2" fontId="14" fillId="3" borderId="0" xfId="10" applyNumberFormat="1" applyFont="1" applyFill="1" applyAlignment="1" applyProtection="1">
      <alignment horizontal="center" vertical="center"/>
      <protection hidden="1"/>
    </xf>
    <xf numFmtId="168" fontId="14" fillId="3" borderId="0" xfId="10" applyNumberFormat="1" applyFont="1" applyFill="1" applyAlignment="1" applyProtection="1">
      <alignment horizontal="center" vertical="center"/>
      <protection hidden="1"/>
    </xf>
    <xf numFmtId="0" fontId="0" fillId="3" borderId="0" xfId="0" applyFill="1" applyProtection="1">
      <protection locked="0"/>
    </xf>
    <xf numFmtId="0" fontId="0" fillId="3" borderId="0" xfId="0" applyFill="1"/>
    <xf numFmtId="49" fontId="0" fillId="3" borderId="0" xfId="0" applyNumberFormat="1" applyFill="1"/>
    <xf numFmtId="0" fontId="21" fillId="0" borderId="5" xfId="0" applyFont="1" applyBorder="1" applyAlignment="1">
      <alignment vertical="center" wrapText="1"/>
    </xf>
    <xf numFmtId="0" fontId="21" fillId="0" borderId="12" xfId="0" applyFont="1" applyBorder="1" applyAlignment="1">
      <alignment vertical="center" wrapText="1"/>
    </xf>
    <xf numFmtId="0" fontId="21" fillId="0" borderId="6" xfId="0" applyFont="1" applyBorder="1" applyAlignment="1">
      <alignment vertical="center" wrapText="1"/>
    </xf>
    <xf numFmtId="0" fontId="21" fillId="0" borderId="7" xfId="0" applyFont="1" applyBorder="1" applyAlignment="1">
      <alignment vertical="center" wrapText="1"/>
    </xf>
    <xf numFmtId="0" fontId="21" fillId="0" borderId="8" xfId="0" applyFont="1" applyBorder="1" applyAlignment="1">
      <alignment vertical="center" wrapText="1"/>
    </xf>
    <xf numFmtId="0" fontId="21" fillId="0" borderId="18" xfId="0" applyFont="1" applyBorder="1" applyAlignment="1">
      <alignment vertical="center" wrapText="1"/>
    </xf>
    <xf numFmtId="0" fontId="21" fillId="0" borderId="11" xfId="0" applyFont="1" applyBorder="1" applyAlignment="1">
      <alignment vertical="center" wrapText="1"/>
    </xf>
    <xf numFmtId="0" fontId="21" fillId="0" borderId="19" xfId="0" applyFont="1" applyBorder="1" applyAlignment="1">
      <alignment vertical="center" wrapText="1"/>
    </xf>
    <xf numFmtId="0" fontId="21" fillId="0" borderId="6" xfId="0" applyFont="1" applyBorder="1" applyAlignment="1">
      <alignment vertical="center"/>
    </xf>
    <xf numFmtId="0" fontId="21" fillId="0" borderId="8" xfId="0" applyFont="1" applyBorder="1" applyAlignment="1">
      <alignment vertical="center"/>
    </xf>
    <xf numFmtId="0" fontId="21" fillId="0" borderId="18" xfId="0" applyFont="1" applyBorder="1" applyAlignment="1">
      <alignment vertical="center"/>
    </xf>
    <xf numFmtId="0" fontId="21" fillId="0" borderId="19" xfId="0" applyFont="1" applyBorder="1" applyAlignment="1">
      <alignment vertical="center"/>
    </xf>
    <xf numFmtId="0" fontId="0" fillId="3" borderId="0" xfId="0" applyFill="1" applyAlignment="1">
      <alignment wrapText="1"/>
    </xf>
    <xf numFmtId="0" fontId="15" fillId="4" borderId="0" xfId="10" applyFont="1" applyFill="1" applyAlignment="1" applyProtection="1">
      <alignment vertical="center"/>
      <protection hidden="1"/>
    </xf>
    <xf numFmtId="0" fontId="15" fillId="4" borderId="5" xfId="10" applyFont="1" applyFill="1" applyBorder="1" applyAlignment="1" applyProtection="1">
      <alignment vertical="center"/>
      <protection hidden="1"/>
    </xf>
    <xf numFmtId="0" fontId="15" fillId="4" borderId="12" xfId="10" applyFont="1" applyFill="1" applyBorder="1" applyAlignment="1" applyProtection="1">
      <alignment vertical="center"/>
      <protection hidden="1"/>
    </xf>
    <xf numFmtId="0" fontId="15" fillId="4" borderId="6" xfId="10" applyFont="1" applyFill="1" applyBorder="1" applyAlignment="1" applyProtection="1">
      <alignment vertical="center"/>
      <protection hidden="1"/>
    </xf>
    <xf numFmtId="0" fontId="15" fillId="4" borderId="7" xfId="10" applyFont="1" applyFill="1" applyBorder="1" applyAlignment="1" applyProtection="1">
      <alignment vertical="center"/>
      <protection hidden="1"/>
    </xf>
    <xf numFmtId="0" fontId="15" fillId="4" borderId="8" xfId="10" applyFont="1" applyFill="1" applyBorder="1" applyAlignment="1" applyProtection="1">
      <alignment vertical="center"/>
      <protection hidden="1"/>
    </xf>
    <xf numFmtId="0" fontId="15" fillId="4" borderId="18" xfId="10" applyFont="1" applyFill="1" applyBorder="1" applyAlignment="1" applyProtection="1">
      <alignment vertical="center"/>
      <protection hidden="1"/>
    </xf>
    <xf numFmtId="0" fontId="15" fillId="4" borderId="11" xfId="10" applyFont="1" applyFill="1" applyBorder="1" applyAlignment="1" applyProtection="1">
      <alignment vertical="center"/>
      <protection hidden="1"/>
    </xf>
    <xf numFmtId="0" fontId="15" fillId="4" borderId="19" xfId="10" applyFont="1" applyFill="1" applyBorder="1" applyAlignment="1" applyProtection="1">
      <alignment vertical="center"/>
      <protection hidden="1"/>
    </xf>
    <xf numFmtId="165" fontId="15" fillId="3" borderId="0" xfId="10" applyNumberFormat="1" applyFont="1" applyFill="1" applyProtection="1">
      <protection hidden="1"/>
    </xf>
    <xf numFmtId="0" fontId="14" fillId="3" borderId="0" xfId="10" applyFont="1" applyFill="1" applyAlignment="1" applyProtection="1">
      <alignment horizontal="center"/>
      <protection hidden="1"/>
    </xf>
    <xf numFmtId="2" fontId="14" fillId="3" borderId="0" xfId="10" applyNumberFormat="1" applyFont="1" applyFill="1" applyProtection="1">
      <protection hidden="1"/>
    </xf>
    <xf numFmtId="0" fontId="14" fillId="3" borderId="0" xfId="10" applyFont="1" applyFill="1" applyProtection="1">
      <protection hidden="1"/>
    </xf>
    <xf numFmtId="1" fontId="15" fillId="3" borderId="0" xfId="10" applyNumberFormat="1" applyFont="1" applyFill="1" applyAlignment="1" applyProtection="1">
      <alignment horizontal="center"/>
      <protection hidden="1"/>
    </xf>
    <xf numFmtId="2" fontId="15" fillId="3" borderId="0" xfId="10" applyNumberFormat="1" applyFont="1" applyFill="1" applyAlignment="1" applyProtection="1">
      <alignment horizontal="center"/>
      <protection hidden="1"/>
    </xf>
    <xf numFmtId="0" fontId="11" fillId="0" borderId="0" xfId="10" applyFont="1" applyAlignment="1">
      <alignment vertical="center"/>
    </xf>
    <xf numFmtId="0" fontId="15" fillId="0" borderId="0" xfId="10" applyFont="1" applyAlignment="1">
      <alignment vertical="center"/>
    </xf>
    <xf numFmtId="0" fontId="7" fillId="0" borderId="5" xfId="0" applyFont="1" applyBorder="1" applyAlignment="1">
      <alignment vertical="center"/>
    </xf>
    <xf numFmtId="0" fontId="8" fillId="0" borderId="12" xfId="0" applyFont="1" applyBorder="1" applyAlignment="1">
      <alignment vertical="center" wrapText="1"/>
    </xf>
    <xf numFmtId="2" fontId="11" fillId="0" borderId="14" xfId="10" applyNumberFormat="1" applyFont="1" applyBorder="1" applyAlignment="1">
      <alignment vertical="center"/>
    </xf>
    <xf numFmtId="0" fontId="7" fillId="0" borderId="7" xfId="0" applyFont="1" applyBorder="1" applyAlignment="1">
      <alignment vertical="center"/>
    </xf>
    <xf numFmtId="0" fontId="8" fillId="0" borderId="0" xfId="0" applyFont="1" applyAlignment="1">
      <alignment vertical="center" wrapText="1"/>
    </xf>
    <xf numFmtId="0" fontId="11" fillId="0" borderId="7" xfId="10" applyFont="1" applyBorder="1" applyAlignment="1">
      <alignment vertical="center"/>
    </xf>
    <xf numFmtId="0" fontId="11" fillId="0" borderId="0" xfId="10" applyFont="1"/>
    <xf numFmtId="0" fontId="15" fillId="0" borderId="7" xfId="10" applyFont="1" applyBorder="1" applyAlignment="1">
      <alignment vertical="center"/>
    </xf>
    <xf numFmtId="0" fontId="15" fillId="0" borderId="9" xfId="10" applyFont="1" applyBorder="1" applyAlignment="1">
      <alignment horizontal="center" vertical="center"/>
    </xf>
    <xf numFmtId="0" fontId="15" fillId="0" borderId="13" xfId="10" applyFont="1" applyBorder="1" applyAlignment="1">
      <alignment horizontal="center" vertical="center"/>
    </xf>
    <xf numFmtId="0" fontId="15" fillId="0" borderId="15" xfId="10" applyFont="1" applyBorder="1" applyAlignment="1">
      <alignment horizontal="center" vertical="center"/>
    </xf>
    <xf numFmtId="166" fontId="14" fillId="0" borderId="16" xfId="10" applyNumberFormat="1" applyFont="1" applyBorder="1" applyAlignment="1">
      <alignment horizontal="center" vertical="center"/>
    </xf>
    <xf numFmtId="166" fontId="14" fillId="0" borderId="13" xfId="10" applyNumberFormat="1" applyFont="1" applyBorder="1" applyAlignment="1">
      <alignment horizontal="center" vertical="center"/>
    </xf>
    <xf numFmtId="166" fontId="14" fillId="0" borderId="14" xfId="10" applyNumberFormat="1" applyFont="1" applyBorder="1" applyAlignment="1">
      <alignment horizontal="center" vertical="center"/>
    </xf>
    <xf numFmtId="167" fontId="14" fillId="0" borderId="16" xfId="10" applyNumberFormat="1" applyFont="1" applyBorder="1" applyAlignment="1">
      <alignment horizontal="center" vertical="center"/>
    </xf>
    <xf numFmtId="167" fontId="14" fillId="0" borderId="13" xfId="10" applyNumberFormat="1" applyFont="1" applyBorder="1" applyAlignment="1">
      <alignment horizontal="center" vertical="center"/>
    </xf>
    <xf numFmtId="167" fontId="14" fillId="0" borderId="14" xfId="10" applyNumberFormat="1" applyFont="1" applyBorder="1" applyAlignment="1">
      <alignment horizontal="center" vertical="center"/>
    </xf>
    <xf numFmtId="0" fontId="9" fillId="0" borderId="12" xfId="0" applyFont="1" applyBorder="1" applyAlignment="1">
      <alignment horizontal="left" vertical="center" wrapText="1"/>
    </xf>
    <xf numFmtId="0" fontId="9" fillId="0" borderId="0" xfId="0" applyFont="1" applyAlignment="1">
      <alignment horizontal="left" vertical="center" wrapText="1"/>
    </xf>
    <xf numFmtId="0" fontId="9" fillId="0" borderId="11" xfId="0" applyFont="1" applyBorder="1" applyAlignment="1">
      <alignment horizontal="left" vertical="center" wrapText="1"/>
    </xf>
    <xf numFmtId="0" fontId="13" fillId="0" borderId="5" xfId="10" applyFont="1" applyBorder="1" applyAlignment="1">
      <alignment horizontal="center" vertical="center" wrapText="1"/>
    </xf>
    <xf numFmtId="0" fontId="13" fillId="0" borderId="12" xfId="10" applyFont="1" applyBorder="1" applyAlignment="1">
      <alignment horizontal="center" vertical="center" wrapText="1"/>
    </xf>
    <xf numFmtId="0" fontId="13" fillId="0" borderId="7" xfId="10" applyFont="1" applyBorder="1" applyAlignment="1">
      <alignment horizontal="center" vertical="center" wrapText="1"/>
    </xf>
    <xf numFmtId="0" fontId="13" fillId="0" borderId="0" xfId="10" applyFont="1" applyAlignment="1">
      <alignment horizontal="center" vertical="center" wrapText="1"/>
    </xf>
    <xf numFmtId="0" fontId="14" fillId="0" borderId="16" xfId="10" applyFont="1" applyBorder="1" applyAlignment="1">
      <alignment horizontal="center" vertical="center"/>
    </xf>
    <xf numFmtId="0" fontId="14" fillId="0" borderId="13" xfId="10" applyFont="1" applyBorder="1" applyAlignment="1">
      <alignment horizontal="center" vertical="center"/>
    </xf>
    <xf numFmtId="0" fontId="14" fillId="0" borderId="10" xfId="10" applyFont="1" applyBorder="1" applyAlignment="1">
      <alignment horizontal="center" vertical="center"/>
    </xf>
    <xf numFmtId="0" fontId="15" fillId="3" borderId="11" xfId="10" applyFont="1" applyFill="1" applyBorder="1" applyAlignment="1">
      <alignment horizontal="left"/>
    </xf>
    <xf numFmtId="0" fontId="15" fillId="3" borderId="11" xfId="10" applyFont="1" applyFill="1" applyBorder="1" applyAlignment="1">
      <alignment horizontal="right"/>
    </xf>
    <xf numFmtId="0" fontId="11" fillId="0" borderId="13" xfId="10" applyFont="1" applyBorder="1" applyAlignment="1">
      <alignment horizontal="center" vertical="center"/>
    </xf>
    <xf numFmtId="2" fontId="14" fillId="0" borderId="16" xfId="10" applyNumberFormat="1" applyFont="1" applyBorder="1" applyAlignment="1">
      <alignment horizontal="center" vertical="center"/>
    </xf>
    <xf numFmtId="2" fontId="14" fillId="0" borderId="13" xfId="10" applyNumberFormat="1" applyFont="1" applyBorder="1" applyAlignment="1">
      <alignment horizontal="center" vertical="center"/>
    </xf>
    <xf numFmtId="2" fontId="14" fillId="0" borderId="14" xfId="10" applyNumberFormat="1" applyFont="1" applyBorder="1" applyAlignment="1">
      <alignment horizontal="center" vertical="center"/>
    </xf>
    <xf numFmtId="0" fontId="15" fillId="0" borderId="3" xfId="11" applyFont="1" applyFill="1" applyBorder="1" applyAlignment="1" applyProtection="1">
      <alignment horizontal="left"/>
    </xf>
    <xf numFmtId="0" fontId="15" fillId="0" borderId="9" xfId="10" applyFont="1" applyBorder="1" applyAlignment="1">
      <alignment horizontal="right" vertical="center"/>
    </xf>
    <xf numFmtId="0" fontId="15" fillId="0" borderId="15" xfId="10" applyFont="1" applyBorder="1" applyAlignment="1">
      <alignment horizontal="right" vertical="center"/>
    </xf>
    <xf numFmtId="2" fontId="15" fillId="0" borderId="3" xfId="10" applyNumberFormat="1" applyFont="1" applyBorder="1" applyAlignment="1">
      <alignment horizontal="right"/>
    </xf>
    <xf numFmtId="0" fontId="13" fillId="0" borderId="16" xfId="10" applyFont="1" applyBorder="1" applyAlignment="1">
      <alignment horizontal="left" vertical="center" indent="1"/>
    </xf>
    <xf numFmtId="0" fontId="13" fillId="0" borderId="13" xfId="10" applyFont="1" applyBorder="1" applyAlignment="1">
      <alignment horizontal="left" vertical="center" indent="1"/>
    </xf>
    <xf numFmtId="0" fontId="14" fillId="4" borderId="9" xfId="10" applyFont="1" applyFill="1" applyBorder="1" applyAlignment="1">
      <alignment horizontal="center" vertical="center"/>
    </xf>
    <xf numFmtId="0" fontId="14" fillId="4" borderId="13" xfId="10" applyFont="1" applyFill="1" applyBorder="1" applyAlignment="1">
      <alignment horizontal="center" vertical="center"/>
    </xf>
    <xf numFmtId="0" fontId="14" fillId="4" borderId="10" xfId="10" applyFont="1" applyFill="1" applyBorder="1" applyAlignment="1">
      <alignment horizontal="center" vertical="center"/>
    </xf>
    <xf numFmtId="0" fontId="15" fillId="4" borderId="5" xfId="10" applyFont="1" applyFill="1" applyBorder="1" applyAlignment="1">
      <alignment horizontal="right" vertical="center" shrinkToFit="1"/>
    </xf>
    <xf numFmtId="0" fontId="15" fillId="4" borderId="12" xfId="10" applyFont="1" applyFill="1" applyBorder="1" applyAlignment="1">
      <alignment horizontal="right" vertical="center" shrinkToFit="1"/>
    </xf>
    <xf numFmtId="0" fontId="15" fillId="4" borderId="7" xfId="10" applyFont="1" applyFill="1" applyBorder="1" applyAlignment="1">
      <alignment horizontal="right" vertical="center" shrinkToFit="1"/>
    </xf>
    <xf numFmtId="0" fontId="15" fillId="4" borderId="0" xfId="10" applyFont="1" applyFill="1" applyAlignment="1">
      <alignment horizontal="right" vertical="center" shrinkToFit="1"/>
    </xf>
    <xf numFmtId="0" fontId="15" fillId="4" borderId="18" xfId="10" applyFont="1" applyFill="1" applyBorder="1" applyAlignment="1">
      <alignment horizontal="right" vertical="center" shrinkToFit="1"/>
    </xf>
    <xf numFmtId="0" fontId="15" fillId="4" borderId="11" xfId="10" applyFont="1" applyFill="1" applyBorder="1" applyAlignment="1">
      <alignment horizontal="right" vertical="center" shrinkToFit="1"/>
    </xf>
    <xf numFmtId="165" fontId="18" fillId="4" borderId="12" xfId="10" applyNumberFormat="1" applyFont="1" applyFill="1" applyBorder="1" applyAlignment="1" applyProtection="1">
      <alignment horizontal="center" vertical="center" shrinkToFit="1"/>
      <protection locked="0"/>
    </xf>
    <xf numFmtId="165" fontId="18" fillId="4" borderId="6" xfId="10" applyNumberFormat="1" applyFont="1" applyFill="1" applyBorder="1" applyAlignment="1" applyProtection="1">
      <alignment horizontal="center" vertical="center" shrinkToFit="1"/>
      <protection locked="0"/>
    </xf>
    <xf numFmtId="2" fontId="18" fillId="4" borderId="0" xfId="10" applyNumberFormat="1" applyFont="1" applyFill="1" applyAlignment="1" applyProtection="1">
      <alignment horizontal="center" vertical="center" shrinkToFit="1"/>
      <protection locked="0"/>
    </xf>
    <xf numFmtId="2" fontId="18" fillId="4" borderId="8" xfId="10" applyNumberFormat="1" applyFont="1" applyFill="1" applyBorder="1" applyAlignment="1" applyProtection="1">
      <alignment horizontal="center" vertical="center" shrinkToFit="1"/>
      <protection locked="0"/>
    </xf>
    <xf numFmtId="169" fontId="18" fillId="4" borderId="12" xfId="10" applyNumberFormat="1" applyFont="1" applyFill="1" applyBorder="1" applyAlignment="1" applyProtection="1">
      <alignment horizontal="center" vertical="center" shrinkToFit="1"/>
      <protection locked="0"/>
    </xf>
    <xf numFmtId="169" fontId="18" fillId="4" borderId="0" xfId="10" applyNumberFormat="1" applyFont="1" applyFill="1" applyAlignment="1" applyProtection="1">
      <alignment horizontal="center" vertical="center" shrinkToFit="1"/>
      <protection locked="0"/>
    </xf>
    <xf numFmtId="165" fontId="18" fillId="4" borderId="0" xfId="10" applyNumberFormat="1" applyFont="1" applyFill="1" applyAlignment="1" applyProtection="1">
      <alignment horizontal="center" vertical="center" shrinkToFit="1"/>
      <protection locked="0"/>
    </xf>
    <xf numFmtId="165" fontId="18" fillId="4" borderId="8" xfId="10" applyNumberFormat="1" applyFont="1" applyFill="1" applyBorder="1" applyAlignment="1" applyProtection="1">
      <alignment horizontal="center" vertical="center" shrinkToFit="1"/>
      <protection locked="0"/>
    </xf>
    <xf numFmtId="165" fontId="18" fillId="4" borderId="11" xfId="10" applyNumberFormat="1" applyFont="1" applyFill="1" applyBorder="1" applyAlignment="1" applyProtection="1">
      <alignment horizontal="center" vertical="center" shrinkToFit="1"/>
      <protection locked="0"/>
    </xf>
    <xf numFmtId="165" fontId="18" fillId="4" borderId="19" xfId="10" applyNumberFormat="1" applyFont="1" applyFill="1" applyBorder="1" applyAlignment="1" applyProtection="1">
      <alignment horizontal="center" vertical="center" shrinkToFit="1"/>
      <protection locked="0"/>
    </xf>
    <xf numFmtId="165" fontId="15" fillId="6" borderId="0" xfId="10" applyNumberFormat="1" applyFont="1" applyFill="1" applyAlignment="1">
      <alignment horizontal="center" vertical="center" shrinkToFit="1"/>
    </xf>
    <xf numFmtId="165" fontId="15" fillId="6" borderId="8" xfId="10" applyNumberFormat="1" applyFont="1" applyFill="1" applyBorder="1" applyAlignment="1">
      <alignment horizontal="center" vertical="center" shrinkToFit="1"/>
    </xf>
    <xf numFmtId="169" fontId="18" fillId="4" borderId="11" xfId="10" applyNumberFormat="1" applyFont="1" applyFill="1" applyBorder="1" applyAlignment="1" applyProtection="1">
      <alignment horizontal="center" vertical="center" shrinkToFit="1"/>
      <protection locked="0"/>
    </xf>
    <xf numFmtId="0" fontId="11" fillId="0" borderId="0" xfId="10" applyFont="1" applyAlignment="1">
      <alignment horizontal="left" vertical="top" wrapText="1"/>
    </xf>
    <xf numFmtId="0" fontId="15" fillId="4" borderId="12" xfId="10" applyFont="1" applyFill="1" applyBorder="1" applyAlignment="1" applyProtection="1">
      <alignment horizontal="center" vertical="center" shrinkToFit="1"/>
      <protection hidden="1"/>
    </xf>
    <xf numFmtId="0" fontId="15" fillId="4" borderId="6" xfId="10" applyFont="1" applyFill="1" applyBorder="1" applyAlignment="1" applyProtection="1">
      <alignment horizontal="center" vertical="center" shrinkToFit="1"/>
      <protection hidden="1"/>
    </xf>
    <xf numFmtId="0" fontId="15" fillId="4" borderId="0" xfId="10" applyFont="1" applyFill="1" applyAlignment="1" applyProtection="1">
      <alignment horizontal="center" vertical="center" shrinkToFit="1"/>
      <protection hidden="1"/>
    </xf>
    <xf numFmtId="0" fontId="15" fillId="4" borderId="8" xfId="10" applyFont="1" applyFill="1" applyBorder="1" applyAlignment="1" applyProtection="1">
      <alignment horizontal="center" vertical="center" shrinkToFit="1"/>
      <protection hidden="1"/>
    </xf>
    <xf numFmtId="2" fontId="18" fillId="4" borderId="11" xfId="10" applyNumberFormat="1" applyFont="1" applyFill="1" applyBorder="1" applyAlignment="1" applyProtection="1">
      <alignment horizontal="center" vertical="center" shrinkToFit="1"/>
      <protection locked="0"/>
    </xf>
    <xf numFmtId="2" fontId="18" fillId="4" borderId="19" xfId="10" applyNumberFormat="1" applyFont="1" applyFill="1" applyBorder="1" applyAlignment="1" applyProtection="1">
      <alignment horizontal="center" vertical="center" shrinkToFit="1"/>
      <protection locked="0"/>
    </xf>
    <xf numFmtId="2" fontId="15" fillId="4" borderId="12" xfId="10" applyNumberFormat="1" applyFont="1" applyFill="1" applyBorder="1" applyAlignment="1" applyProtection="1">
      <alignment horizontal="center" vertical="center" shrinkToFit="1"/>
      <protection hidden="1"/>
    </xf>
    <xf numFmtId="2" fontId="15" fillId="4" borderId="6" xfId="10" applyNumberFormat="1" applyFont="1" applyFill="1" applyBorder="1" applyAlignment="1" applyProtection="1">
      <alignment horizontal="center" vertical="center" shrinkToFit="1"/>
      <protection hidden="1"/>
    </xf>
    <xf numFmtId="0" fontId="14" fillId="3" borderId="0" xfId="10" applyFont="1" applyFill="1" applyAlignment="1" applyProtection="1">
      <alignment horizontal="center"/>
      <protection hidden="1"/>
    </xf>
    <xf numFmtId="0" fontId="15" fillId="4" borderId="11" xfId="10" applyFont="1" applyFill="1" applyBorder="1" applyAlignment="1" applyProtection="1">
      <alignment horizontal="center" vertical="center" shrinkToFit="1"/>
      <protection hidden="1"/>
    </xf>
    <xf numFmtId="0" fontId="15" fillId="4" borderId="19" xfId="10" applyFont="1" applyFill="1" applyBorder="1" applyAlignment="1" applyProtection="1">
      <alignment horizontal="center" vertical="center" shrinkToFit="1"/>
      <protection hidden="1"/>
    </xf>
    <xf numFmtId="2" fontId="15" fillId="4" borderId="11" xfId="10" applyNumberFormat="1" applyFont="1" applyFill="1" applyBorder="1" applyAlignment="1" applyProtection="1">
      <alignment horizontal="center" vertical="center" shrinkToFit="1"/>
      <protection hidden="1"/>
    </xf>
    <xf numFmtId="2" fontId="15" fillId="4" borderId="19" xfId="10" applyNumberFormat="1" applyFont="1" applyFill="1" applyBorder="1" applyAlignment="1" applyProtection="1">
      <alignment horizontal="center" vertical="center" shrinkToFit="1"/>
      <protection hidden="1"/>
    </xf>
    <xf numFmtId="0" fontId="0" fillId="5" borderId="11" xfId="0" applyFill="1" applyBorder="1" applyAlignment="1">
      <alignment horizontal="left"/>
    </xf>
    <xf numFmtId="0" fontId="0" fillId="5" borderId="11" xfId="0" applyFill="1" applyBorder="1" applyAlignment="1">
      <alignment horizontal="right"/>
    </xf>
    <xf numFmtId="0" fontId="21" fillId="0" borderId="0" xfId="0" applyFont="1" applyAlignment="1">
      <alignment horizontal="left" vertical="center" wrapText="1"/>
    </xf>
    <xf numFmtId="0" fontId="21" fillId="0" borderId="0" xfId="0" applyFont="1" applyAlignment="1">
      <alignment horizontal="right" vertical="center" wrapText="1"/>
    </xf>
    <xf numFmtId="0" fontId="10" fillId="0" borderId="0" xfId="11" applyFill="1" applyBorder="1" applyAlignment="1" applyProtection="1">
      <alignment horizontal="left" vertical="center" wrapText="1"/>
      <protection locked="0"/>
    </xf>
    <xf numFmtId="0" fontId="10" fillId="0" borderId="0" xfId="11" applyFill="1" applyBorder="1" applyAlignment="1" applyProtection="1">
      <alignment horizontal="right" vertical="center" wrapText="1"/>
      <protection locked="0"/>
    </xf>
    <xf numFmtId="0" fontId="0" fillId="3" borderId="0" xfId="0" applyFill="1" applyAlignment="1" applyProtection="1">
      <alignment horizontal="center"/>
      <protection locked="0"/>
    </xf>
    <xf numFmtId="0" fontId="21" fillId="0" borderId="12" xfId="0" applyFont="1" applyBorder="1" applyAlignment="1">
      <alignment horizontal="left" vertical="center" wrapText="1"/>
    </xf>
    <xf numFmtId="0" fontId="21" fillId="0" borderId="11" xfId="0" applyFont="1" applyBorder="1" applyAlignment="1">
      <alignment horizontal="left" vertical="center" wrapText="1"/>
    </xf>
    <xf numFmtId="0" fontId="20" fillId="0" borderId="0" xfId="0" applyFont="1" applyAlignment="1">
      <alignment horizontal="left" vertical="center" wrapText="1"/>
    </xf>
    <xf numFmtId="0" fontId="22" fillId="0" borderId="0" xfId="0" applyFont="1" applyAlignment="1">
      <alignment horizontal="left" vertical="center" wrapText="1"/>
    </xf>
  </cellXfs>
  <cellStyles count="12">
    <cellStyle name="Comma 2" xfId="9" xr:uid="{00000000-0005-0000-0000-000000000000}"/>
    <cellStyle name="Heading2" xfId="5" xr:uid="{00000000-0005-0000-0000-000001000000}"/>
    <cellStyle name="Hyperlink" xfId="11" builtinId="8"/>
    <cellStyle name="Normal" xfId="0" builtinId="0"/>
    <cellStyle name="Normal 2" xfId="1" xr:uid="{00000000-0005-0000-0000-000004000000}"/>
    <cellStyle name="Normal 2 2" xfId="4" xr:uid="{00000000-0005-0000-0000-000005000000}"/>
    <cellStyle name="Normal 3" xfId="6" xr:uid="{00000000-0005-0000-0000-000006000000}"/>
    <cellStyle name="Normal 4" xfId="8" xr:uid="{00000000-0005-0000-0000-000007000000}"/>
    <cellStyle name="Normal 5" xfId="10" xr:uid="{00000000-0005-0000-0000-000008000000}"/>
    <cellStyle name="Percent 2" xfId="7" xr:uid="{00000000-0005-0000-0000-000009000000}"/>
    <cellStyle name="Podnaslov" xfId="2" xr:uid="{00000000-0005-0000-0000-00000A000000}"/>
    <cellStyle name="UnosPodataka" xfId="3" xr:uid="{00000000-0005-0000-0000-00000B000000}"/>
  </cellStyles>
  <dxfs count="0"/>
  <tableStyles count="0" defaultTableStyle="TableStyleMedium2" defaultPivotStyle="PivotStyleMedium9"/>
  <colors>
    <mruColors>
      <color rgb="FFCCFF33"/>
      <color rgb="FFFFFFCC"/>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13</xdr:col>
      <xdr:colOff>235323</xdr:colOff>
      <xdr:row>33</xdr:row>
      <xdr:rowOff>0</xdr:rowOff>
    </xdr:from>
    <xdr:to>
      <xdr:col>14</xdr:col>
      <xdr:colOff>45944</xdr:colOff>
      <xdr:row>33</xdr:row>
      <xdr:rowOff>207472</xdr:rowOff>
    </xdr:to>
    <xdr:sp macro="[0]!TextBox3_Click" textlink="">
      <xdr:nvSpPr>
        <xdr:cNvPr id="4" name="TextBox 3">
          <a:extLst>
            <a:ext uri="{FF2B5EF4-FFF2-40B4-BE49-F238E27FC236}">
              <a16:creationId xmlns:a16="http://schemas.microsoft.com/office/drawing/2014/main" id="{00000000-0008-0000-0000-000004000000}"/>
            </a:ext>
          </a:extLst>
        </xdr:cNvPr>
        <xdr:cNvSpPr txBox="1"/>
      </xdr:nvSpPr>
      <xdr:spPr>
        <a:xfrm>
          <a:off x="4114799" y="7086600"/>
          <a:ext cx="133351" cy="207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numCol="1" spcCol="0" rtlCol="0" anchor="ctr" anchorCtr="0"/>
        <a:lstStyle/>
        <a:p>
          <a:r>
            <a:rPr lang="pl-PL" sz="800">
              <a:solidFill>
                <a:srgbClr val="969696"/>
              </a:solidFill>
            </a:rPr>
            <a:t>(?)</a:t>
          </a:r>
          <a:endParaRPr lang="en-GB" sz="800">
            <a:solidFill>
              <a:srgbClr val="969696"/>
            </a:solidFill>
          </a:endParaRPr>
        </a:p>
      </xdr:txBody>
    </xdr:sp>
    <xdr:clientData/>
  </xdr:twoCellAnchor>
  <xdr:absoluteAnchor>
    <xdr:pos x="8734425" y="1075950"/>
    <xdr:ext cx="971550" cy="352800"/>
    <xdr:sp macro="" textlink="">
      <xdr:nvSpPr>
        <xdr:cNvPr id="5" name="Rounded Rectangle 2">
          <a:extLst>
            <a:ext uri="{FF2B5EF4-FFF2-40B4-BE49-F238E27FC236}">
              <a16:creationId xmlns:a16="http://schemas.microsoft.com/office/drawing/2014/main" id="{00000000-0008-0000-0000-000005000000}"/>
            </a:ext>
          </a:extLst>
        </xdr:cNvPr>
        <xdr:cNvSpPr>
          <a:spLocks noChangeArrowheads="1"/>
        </xdr:cNvSpPr>
      </xdr:nvSpPr>
      <xdr:spPr bwMode="auto">
        <a:xfrm>
          <a:off x="8734425" y="1075950"/>
          <a:ext cx="971550" cy="352800"/>
        </a:xfrm>
        <a:prstGeom prst="roundRect">
          <a:avLst>
            <a:gd name="adj" fmla="val 8292"/>
          </a:avLst>
        </a:prstGeom>
        <a:solidFill>
          <a:srgbClr val="DDDDDD"/>
        </a:solidFill>
        <a:ln w="15875">
          <a:solidFill>
            <a:schemeClr val="bg1">
              <a:lumMod val="65000"/>
            </a:schemeClr>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defRPr sz="1000"/>
          </a:pPr>
          <a:r>
            <a:rPr lang="hu-HU" sz="1050" b="1" i="0" u="none" strike="noStrike" baseline="0">
              <a:solidFill>
                <a:srgbClr val="333333"/>
              </a:solidFill>
              <a:latin typeface="Arial"/>
              <a:ea typeface="Arial"/>
              <a:cs typeface="Arial"/>
            </a:rPr>
            <a:t>Print Me</a:t>
          </a:r>
        </a:p>
      </xdr:txBody>
    </xdr:sp>
    <xdr:clientData fPrintsWithSheet="0"/>
  </xdr:absoluteAnchor>
  <xdr:twoCellAnchor editAs="oneCell">
    <xdr:from>
      <xdr:col>2</xdr:col>
      <xdr:colOff>28575</xdr:colOff>
      <xdr:row>1</xdr:row>
      <xdr:rowOff>200025</xdr:rowOff>
    </xdr:from>
    <xdr:to>
      <xdr:col>3</xdr:col>
      <xdr:colOff>188819</xdr:colOff>
      <xdr:row>3</xdr:row>
      <xdr:rowOff>200025</xdr:rowOff>
    </xdr:to>
    <xdr:pic>
      <xdr:nvPicPr>
        <xdr:cNvPr id="11" name="Picture 6" descr="SE logo_small.jpg">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 y="390525"/>
          <a:ext cx="609600"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13</xdr:col>
      <xdr:colOff>235323</xdr:colOff>
      <xdr:row>30</xdr:row>
      <xdr:rowOff>0</xdr:rowOff>
    </xdr:from>
    <xdr:to>
      <xdr:col>14</xdr:col>
      <xdr:colOff>45944</xdr:colOff>
      <xdr:row>31</xdr:row>
      <xdr:rowOff>3364</xdr:rowOff>
    </xdr:to>
    <xdr:sp macro="[0]!TextBox1_Click" textlink="">
      <xdr:nvSpPr>
        <xdr:cNvPr id="10" name="TextBox 9">
          <a:extLst>
            <a:ext uri="{FF2B5EF4-FFF2-40B4-BE49-F238E27FC236}">
              <a16:creationId xmlns:a16="http://schemas.microsoft.com/office/drawing/2014/main" id="{00000000-0008-0000-0000-00000A000000}"/>
            </a:ext>
          </a:extLst>
        </xdr:cNvPr>
        <xdr:cNvSpPr txBox="1"/>
      </xdr:nvSpPr>
      <xdr:spPr>
        <a:xfrm>
          <a:off x="4114799" y="6457950"/>
          <a:ext cx="133351" cy="212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numCol="1" spcCol="0" rtlCol="0" anchor="ctr" anchorCtr="0"/>
        <a:lstStyle/>
        <a:p>
          <a:r>
            <a:rPr lang="pl-PL" sz="800">
              <a:solidFill>
                <a:srgbClr val="969696"/>
              </a:solidFill>
            </a:rPr>
            <a:t>(?)</a:t>
          </a:r>
          <a:endParaRPr lang="en-GB" sz="800">
            <a:solidFill>
              <a:srgbClr val="969696"/>
            </a:solidFill>
          </a:endParaRPr>
        </a:p>
      </xdr:txBody>
    </xdr:sp>
    <xdr:clientData/>
  </xdr:twoCellAnchor>
  <xdr:twoCellAnchor editAs="absolute">
    <xdr:from>
      <xdr:col>13</xdr:col>
      <xdr:colOff>235323</xdr:colOff>
      <xdr:row>31</xdr:row>
      <xdr:rowOff>0</xdr:rowOff>
    </xdr:from>
    <xdr:to>
      <xdr:col>14</xdr:col>
      <xdr:colOff>45944</xdr:colOff>
      <xdr:row>32</xdr:row>
      <xdr:rowOff>3364</xdr:rowOff>
    </xdr:to>
    <xdr:sp macro="[0]!TextBox2_Click" textlink="">
      <xdr:nvSpPr>
        <xdr:cNvPr id="12" name="TextBox 11">
          <a:extLst>
            <a:ext uri="{FF2B5EF4-FFF2-40B4-BE49-F238E27FC236}">
              <a16:creationId xmlns:a16="http://schemas.microsoft.com/office/drawing/2014/main" id="{00000000-0008-0000-0000-00000C000000}"/>
            </a:ext>
          </a:extLst>
        </xdr:cNvPr>
        <xdr:cNvSpPr txBox="1"/>
      </xdr:nvSpPr>
      <xdr:spPr>
        <a:xfrm>
          <a:off x="4114799" y="6667500"/>
          <a:ext cx="133351" cy="212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numCol="1" spcCol="0" rtlCol="0" anchor="ctr" anchorCtr="0"/>
        <a:lstStyle/>
        <a:p>
          <a:r>
            <a:rPr lang="pl-PL" sz="800">
              <a:solidFill>
                <a:srgbClr val="969696"/>
              </a:solidFill>
            </a:rPr>
            <a:t>(?)</a:t>
          </a:r>
          <a:endParaRPr lang="en-GB" sz="800">
            <a:solidFill>
              <a:srgbClr val="969696"/>
            </a:solidFill>
          </a:endParaRPr>
        </a:p>
      </xdr:txBody>
    </xdr:sp>
    <xdr:clientData/>
  </xdr:twoCellAnchor>
  <xdr:twoCellAnchor editAs="oneCell">
    <xdr:from>
      <xdr:col>2</xdr:col>
      <xdr:colOff>154921</xdr:colOff>
      <xdr:row>12</xdr:row>
      <xdr:rowOff>161925</xdr:rowOff>
    </xdr:from>
    <xdr:to>
      <xdr:col>27</xdr:col>
      <xdr:colOff>321048</xdr:colOff>
      <xdr:row>25</xdr:row>
      <xdr:rowOff>176215</xdr:rowOff>
    </xdr:to>
    <xdr:grpSp>
      <xdr:nvGrpSpPr>
        <xdr:cNvPr id="100" name="Group 99">
          <a:extLst>
            <a:ext uri="{FF2B5EF4-FFF2-40B4-BE49-F238E27FC236}">
              <a16:creationId xmlns:a16="http://schemas.microsoft.com/office/drawing/2014/main" id="{00000000-0008-0000-0000-000064000000}"/>
            </a:ext>
          </a:extLst>
        </xdr:cNvPr>
        <xdr:cNvGrpSpPr/>
      </xdr:nvGrpSpPr>
      <xdr:grpSpPr>
        <a:xfrm>
          <a:off x="435068" y="2862543"/>
          <a:ext cx="8056749" cy="2782143"/>
          <a:chOff x="640696" y="2790825"/>
          <a:chExt cx="8065154" cy="2738440"/>
        </a:xfrm>
      </xdr:grpSpPr>
      <xdr:sp macro="" textlink="">
        <xdr:nvSpPr>
          <xdr:cNvPr id="71" name="Isosceles Triangle 70">
            <a:extLst>
              <a:ext uri="{FF2B5EF4-FFF2-40B4-BE49-F238E27FC236}">
                <a16:creationId xmlns:a16="http://schemas.microsoft.com/office/drawing/2014/main" id="{00000000-0008-0000-0000-000047000000}"/>
              </a:ext>
            </a:extLst>
          </xdr:cNvPr>
          <xdr:cNvSpPr/>
        </xdr:nvSpPr>
        <xdr:spPr>
          <a:xfrm rot="5400000">
            <a:off x="4324186" y="2738520"/>
            <a:ext cx="158291" cy="423064"/>
          </a:xfrm>
          <a:prstGeom prst="triangle">
            <a:avLst>
              <a:gd name="adj" fmla="val 4981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0" name="Isosceles Triangle 69">
            <a:extLst>
              <a:ext uri="{FF2B5EF4-FFF2-40B4-BE49-F238E27FC236}">
                <a16:creationId xmlns:a16="http://schemas.microsoft.com/office/drawing/2014/main" id="{00000000-0008-0000-0000-000046000000}"/>
              </a:ext>
            </a:extLst>
          </xdr:cNvPr>
          <xdr:cNvSpPr/>
        </xdr:nvSpPr>
        <xdr:spPr>
          <a:xfrm rot="16200000" flipH="1">
            <a:off x="3900323" y="2738518"/>
            <a:ext cx="158291" cy="423064"/>
          </a:xfrm>
          <a:prstGeom prst="triangle">
            <a:avLst>
              <a:gd name="adj" fmla="val 4981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7" name="Isosceles Triangle 66">
            <a:extLst>
              <a:ext uri="{FF2B5EF4-FFF2-40B4-BE49-F238E27FC236}">
                <a16:creationId xmlns:a16="http://schemas.microsoft.com/office/drawing/2014/main" id="{00000000-0008-0000-0000-000043000000}"/>
              </a:ext>
            </a:extLst>
          </xdr:cNvPr>
          <xdr:cNvSpPr/>
        </xdr:nvSpPr>
        <xdr:spPr>
          <a:xfrm rot="16791656" flipH="1">
            <a:off x="6067596" y="2847719"/>
            <a:ext cx="158291" cy="899985"/>
          </a:xfrm>
          <a:prstGeom prst="triangle">
            <a:avLst>
              <a:gd name="adj" fmla="val 17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8" name="Right Triangle 67">
            <a:extLst>
              <a:ext uri="{FF2B5EF4-FFF2-40B4-BE49-F238E27FC236}">
                <a16:creationId xmlns:a16="http://schemas.microsoft.com/office/drawing/2014/main" id="{00000000-0008-0000-0000-000044000000}"/>
              </a:ext>
            </a:extLst>
          </xdr:cNvPr>
          <xdr:cNvSpPr/>
        </xdr:nvSpPr>
        <xdr:spPr>
          <a:xfrm flipH="1" flipV="1">
            <a:off x="6139536" y="3298706"/>
            <a:ext cx="479665" cy="170012"/>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6" name="Isosceles Triangle 65">
            <a:extLst>
              <a:ext uri="{FF2B5EF4-FFF2-40B4-BE49-F238E27FC236}">
                <a16:creationId xmlns:a16="http://schemas.microsoft.com/office/drawing/2014/main" id="{00000000-0008-0000-0000-000042000000}"/>
              </a:ext>
            </a:extLst>
          </xdr:cNvPr>
          <xdr:cNvSpPr/>
        </xdr:nvSpPr>
        <xdr:spPr>
          <a:xfrm rot="4864821">
            <a:off x="2062872" y="2847717"/>
            <a:ext cx="158291" cy="899985"/>
          </a:xfrm>
          <a:prstGeom prst="triangle">
            <a:avLst>
              <a:gd name="adj" fmla="val 17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2" name="Right Triangle 61">
            <a:extLst>
              <a:ext uri="{FF2B5EF4-FFF2-40B4-BE49-F238E27FC236}">
                <a16:creationId xmlns:a16="http://schemas.microsoft.com/office/drawing/2014/main" id="{00000000-0008-0000-0000-00003E000000}"/>
              </a:ext>
            </a:extLst>
          </xdr:cNvPr>
          <xdr:cNvSpPr/>
        </xdr:nvSpPr>
        <xdr:spPr>
          <a:xfrm flipV="1">
            <a:off x="1679994" y="3298706"/>
            <a:ext cx="479665" cy="170012"/>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9" name="Rectangle 58">
            <a:extLst>
              <a:ext uri="{FF2B5EF4-FFF2-40B4-BE49-F238E27FC236}">
                <a16:creationId xmlns:a16="http://schemas.microsoft.com/office/drawing/2014/main" id="{00000000-0008-0000-0000-00003B000000}"/>
              </a:ext>
            </a:extLst>
          </xdr:cNvPr>
          <xdr:cNvSpPr/>
        </xdr:nvSpPr>
        <xdr:spPr>
          <a:xfrm>
            <a:off x="6303215" y="4870870"/>
            <a:ext cx="621461" cy="194094"/>
          </a:xfrm>
          <a:prstGeom prst="rect">
            <a:avLst/>
          </a:prstGeom>
          <a:pattFill prst="wdUpDiag">
            <a:fgClr>
              <a:schemeClr val="bg1">
                <a:lumMod val="75000"/>
              </a:schemeClr>
            </a:fgClr>
            <a:bgClr>
              <a:srgbClr val="FFFFCC"/>
            </a:bgClr>
          </a:patt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8" name="Rectangle 57">
            <a:extLst>
              <a:ext uri="{FF2B5EF4-FFF2-40B4-BE49-F238E27FC236}">
                <a16:creationId xmlns:a16="http://schemas.microsoft.com/office/drawing/2014/main" id="{00000000-0008-0000-0000-00003A000000}"/>
              </a:ext>
            </a:extLst>
          </xdr:cNvPr>
          <xdr:cNvSpPr/>
        </xdr:nvSpPr>
        <xdr:spPr>
          <a:xfrm>
            <a:off x="1365670" y="4870870"/>
            <a:ext cx="619843" cy="194094"/>
          </a:xfrm>
          <a:prstGeom prst="rect">
            <a:avLst/>
          </a:prstGeom>
          <a:pattFill prst="wdUpDiag">
            <a:fgClr>
              <a:schemeClr val="bg1">
                <a:lumMod val="75000"/>
              </a:schemeClr>
            </a:fgClr>
            <a:bgClr>
              <a:srgbClr val="FFFFCC"/>
            </a:bgClr>
          </a:patt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3" name="Straight Connector 2">
            <a:extLst>
              <a:ext uri="{FF2B5EF4-FFF2-40B4-BE49-F238E27FC236}">
                <a16:creationId xmlns:a16="http://schemas.microsoft.com/office/drawing/2014/main" id="{00000000-0008-0000-0000-000003000000}"/>
              </a:ext>
            </a:extLst>
          </xdr:cNvPr>
          <xdr:cNvCxnSpPr/>
        </xdr:nvCxnSpPr>
        <xdr:spPr>
          <a:xfrm flipV="1">
            <a:off x="1676400" y="3291728"/>
            <a:ext cx="0" cy="1575547"/>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00000000-0008-0000-0000-00000D000000}"/>
              </a:ext>
            </a:extLst>
          </xdr:cNvPr>
          <xdr:cNvCxnSpPr/>
        </xdr:nvCxnSpPr>
        <xdr:spPr>
          <a:xfrm flipV="1">
            <a:off x="1676400" y="2872629"/>
            <a:ext cx="2514600" cy="41909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0000-00000E000000}"/>
              </a:ext>
            </a:extLst>
          </xdr:cNvPr>
          <xdr:cNvCxnSpPr/>
        </xdr:nvCxnSpPr>
        <xdr:spPr>
          <a:xfrm flipV="1">
            <a:off x="6610350" y="3291728"/>
            <a:ext cx="11205" cy="1575547"/>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00000000-0008-0000-0000-000011000000}"/>
              </a:ext>
            </a:extLst>
          </xdr:cNvPr>
          <xdr:cNvCxnSpPr/>
        </xdr:nvCxnSpPr>
        <xdr:spPr>
          <a:xfrm>
            <a:off x="4191000" y="2872629"/>
            <a:ext cx="2419350" cy="41909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AI$11">
        <xdr:nvSpPr>
          <xdr:cNvPr id="20" name="TextBox 19">
            <a:extLst>
              <a:ext uri="{FF2B5EF4-FFF2-40B4-BE49-F238E27FC236}">
                <a16:creationId xmlns:a16="http://schemas.microsoft.com/office/drawing/2014/main" id="{00000000-0008-0000-0000-000014000000}"/>
              </a:ext>
            </a:extLst>
          </xdr:cNvPr>
          <xdr:cNvSpPr txBox="1"/>
        </xdr:nvSpPr>
        <xdr:spPr>
          <a:xfrm>
            <a:off x="6619314" y="3781426"/>
            <a:ext cx="2086536" cy="329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270DE75-34B7-4D32-9FB5-004EEA1C68E8}" type="TxLink">
              <a:rPr lang="en-US" sz="1100" b="0" i="0" u="none" strike="noStrike">
                <a:solidFill>
                  <a:srgbClr val="000000"/>
                </a:solidFill>
                <a:latin typeface="Calibri"/>
              </a:rPr>
              <a:pPr algn="l"/>
              <a:t>686×254×125 UB Stanchion</a:t>
            </a:fld>
            <a:endParaRPr lang="en-GB" sz="1100"/>
          </a:p>
        </xdr:txBody>
      </xdr:sp>
      <xdr:sp macro="" textlink="$AI$10">
        <xdr:nvSpPr>
          <xdr:cNvPr id="21" name="TextBox 20">
            <a:extLst>
              <a:ext uri="{FF2B5EF4-FFF2-40B4-BE49-F238E27FC236}">
                <a16:creationId xmlns:a16="http://schemas.microsoft.com/office/drawing/2014/main" id="{00000000-0008-0000-0000-000015000000}"/>
              </a:ext>
            </a:extLst>
          </xdr:cNvPr>
          <xdr:cNvSpPr txBox="1"/>
        </xdr:nvSpPr>
        <xdr:spPr>
          <a:xfrm rot="565637">
            <a:off x="4671171" y="2790825"/>
            <a:ext cx="1639422" cy="344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8329C8-70D0-40BA-B2A3-E5AEFF6110EB}" type="TxLink">
              <a:rPr lang="en-US" sz="1100" b="0" i="0" u="none" strike="noStrike">
                <a:solidFill>
                  <a:srgbClr val="000000"/>
                </a:solidFill>
                <a:latin typeface="Calibri"/>
              </a:rPr>
              <a:pPr algn="ctr"/>
              <a:t>533×210×82 UB Rafter</a:t>
            </a:fld>
            <a:endParaRPr lang="en-GB" sz="1100"/>
          </a:p>
        </xdr:txBody>
      </xdr:sp>
      <xdr:sp macro="" textlink="$AI$12">
        <xdr:nvSpPr>
          <xdr:cNvPr id="22" name="TextBox 21">
            <a:extLst>
              <a:ext uri="{FF2B5EF4-FFF2-40B4-BE49-F238E27FC236}">
                <a16:creationId xmlns:a16="http://schemas.microsoft.com/office/drawing/2014/main" id="{00000000-0008-0000-0000-000016000000}"/>
              </a:ext>
            </a:extLst>
          </xdr:cNvPr>
          <xdr:cNvSpPr txBox="1"/>
        </xdr:nvSpPr>
        <xdr:spPr>
          <a:xfrm>
            <a:off x="1798690" y="3318717"/>
            <a:ext cx="1627657" cy="351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38A7AA-C91B-4807-B9C4-B70ACDED8F67}" type="TxLink">
              <a:rPr lang="en-US" sz="1100" b="0" i="0" u="none" strike="noStrike">
                <a:solidFill>
                  <a:srgbClr val="000000"/>
                </a:solidFill>
                <a:latin typeface="Calibri"/>
              </a:rPr>
              <a:pPr algn="ctr"/>
              <a:t>610×229×101 UB Hunch</a:t>
            </a:fld>
            <a:endParaRPr lang="en-GB" sz="1100"/>
          </a:p>
        </xdr:txBody>
      </xdr:sp>
      <xdr:cxnSp macro="">
        <xdr:nvCxnSpPr>
          <xdr:cNvPr id="25" name="Straight Connector 24">
            <a:extLst>
              <a:ext uri="{FF2B5EF4-FFF2-40B4-BE49-F238E27FC236}">
                <a16:creationId xmlns:a16="http://schemas.microsoft.com/office/drawing/2014/main" id="{00000000-0008-0000-0000-000019000000}"/>
              </a:ext>
            </a:extLst>
          </xdr:cNvPr>
          <xdr:cNvCxnSpPr/>
        </xdr:nvCxnSpPr>
        <xdr:spPr>
          <a:xfrm flipH="1">
            <a:off x="1362076" y="4867275"/>
            <a:ext cx="628649"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0" name="Straight Connector 29">
            <a:extLst>
              <a:ext uri="{FF2B5EF4-FFF2-40B4-BE49-F238E27FC236}">
                <a16:creationId xmlns:a16="http://schemas.microsoft.com/office/drawing/2014/main" id="{00000000-0008-0000-0000-00001E000000}"/>
              </a:ext>
            </a:extLst>
          </xdr:cNvPr>
          <xdr:cNvCxnSpPr/>
        </xdr:nvCxnSpPr>
        <xdr:spPr>
          <a:xfrm flipH="1">
            <a:off x="6296025" y="4867275"/>
            <a:ext cx="628089"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31" name="Oval 30">
            <a:extLst>
              <a:ext uri="{FF2B5EF4-FFF2-40B4-BE49-F238E27FC236}">
                <a16:creationId xmlns:a16="http://schemas.microsoft.com/office/drawing/2014/main" id="{00000000-0008-0000-0000-00001F000000}"/>
              </a:ext>
            </a:extLst>
          </xdr:cNvPr>
          <xdr:cNvSpPr/>
        </xdr:nvSpPr>
        <xdr:spPr>
          <a:xfrm>
            <a:off x="1605126" y="4799537"/>
            <a:ext cx="144692" cy="142316"/>
          </a:xfrm>
          <a:prstGeom prst="ellips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Oval 31">
            <a:extLst>
              <a:ext uri="{FF2B5EF4-FFF2-40B4-BE49-F238E27FC236}">
                <a16:creationId xmlns:a16="http://schemas.microsoft.com/office/drawing/2014/main" id="{00000000-0008-0000-0000-000020000000}"/>
              </a:ext>
            </a:extLst>
          </xdr:cNvPr>
          <xdr:cNvSpPr/>
        </xdr:nvSpPr>
        <xdr:spPr>
          <a:xfrm>
            <a:off x="6539076" y="4799537"/>
            <a:ext cx="144691" cy="142316"/>
          </a:xfrm>
          <a:prstGeom prst="ellips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44" name="Straight Connector 43">
            <a:extLst>
              <a:ext uri="{FF2B5EF4-FFF2-40B4-BE49-F238E27FC236}">
                <a16:creationId xmlns:a16="http://schemas.microsoft.com/office/drawing/2014/main" id="{00000000-0008-0000-0000-00002C000000}"/>
              </a:ext>
            </a:extLst>
          </xdr:cNvPr>
          <xdr:cNvCxnSpPr/>
        </xdr:nvCxnSpPr>
        <xdr:spPr>
          <a:xfrm>
            <a:off x="3732798" y="2956760"/>
            <a:ext cx="458202" cy="792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00000000-0008-0000-0000-000033000000}"/>
              </a:ext>
            </a:extLst>
          </xdr:cNvPr>
          <xdr:cNvCxnSpPr/>
        </xdr:nvCxnSpPr>
        <xdr:spPr>
          <a:xfrm flipH="1" flipV="1">
            <a:off x="5714498" y="3143752"/>
            <a:ext cx="917909" cy="328863"/>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2" name="Straight Connector 51">
            <a:extLst>
              <a:ext uri="{FF2B5EF4-FFF2-40B4-BE49-F238E27FC236}">
                <a16:creationId xmlns:a16="http://schemas.microsoft.com/office/drawing/2014/main" id="{00000000-0008-0000-0000-000034000000}"/>
              </a:ext>
            </a:extLst>
          </xdr:cNvPr>
          <xdr:cNvCxnSpPr/>
        </xdr:nvCxnSpPr>
        <xdr:spPr>
          <a:xfrm flipH="1">
            <a:off x="4193006" y="2949241"/>
            <a:ext cx="459706" cy="792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000-000035000000}"/>
              </a:ext>
            </a:extLst>
          </xdr:cNvPr>
          <xdr:cNvCxnSpPr/>
        </xdr:nvCxnSpPr>
        <xdr:spPr>
          <a:xfrm>
            <a:off x="4189382" y="2868822"/>
            <a:ext cx="0" cy="16641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00000000-0008-0000-0000-00003C000000}"/>
              </a:ext>
            </a:extLst>
          </xdr:cNvPr>
          <xdr:cNvCxnSpPr/>
        </xdr:nvCxnSpPr>
        <xdr:spPr>
          <a:xfrm flipV="1">
            <a:off x="1666100" y="3148576"/>
            <a:ext cx="917909" cy="328863"/>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AG$12">
        <xdr:nvSpPr>
          <xdr:cNvPr id="92" name="TextBox 91">
            <a:extLst>
              <a:ext uri="{FF2B5EF4-FFF2-40B4-BE49-F238E27FC236}">
                <a16:creationId xmlns:a16="http://schemas.microsoft.com/office/drawing/2014/main" id="{00000000-0008-0000-0000-00005C000000}"/>
              </a:ext>
            </a:extLst>
          </xdr:cNvPr>
          <xdr:cNvSpPr txBox="1"/>
        </xdr:nvSpPr>
        <xdr:spPr>
          <a:xfrm>
            <a:off x="6524064" y="3133726"/>
            <a:ext cx="200586" cy="329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5753DB-14D8-4CF3-ABD9-FA0D2772DFAB}" type="TxLink">
              <a:rPr lang="en-US" sz="1100" b="0" i="0" u="none" strike="noStrike">
                <a:solidFill>
                  <a:schemeClr val="bg1">
                    <a:lumMod val="65000"/>
                  </a:schemeClr>
                </a:solidFill>
                <a:latin typeface="Arial" panose="020B0604020202020204" pitchFamily="34" charset="0"/>
                <a:cs typeface="Arial" panose="020B0604020202020204" pitchFamily="34" charset="0"/>
              </a:rPr>
              <a:pPr algn="ctr"/>
              <a:t>X</a:t>
            </a:fld>
            <a:endParaRPr lang="en-GB" sz="1100">
              <a:solidFill>
                <a:schemeClr val="bg1">
                  <a:lumMod val="65000"/>
                </a:schemeClr>
              </a:solidFill>
              <a:latin typeface="Arial" panose="020B0604020202020204" pitchFamily="34" charset="0"/>
              <a:cs typeface="Arial" panose="020B0604020202020204" pitchFamily="34" charset="0"/>
            </a:endParaRPr>
          </a:p>
        </xdr:txBody>
      </xdr:sp>
      <xdr:sp macro="" textlink="$AG$12">
        <xdr:nvSpPr>
          <xdr:cNvPr id="93" name="TextBox 92">
            <a:extLst>
              <a:ext uri="{FF2B5EF4-FFF2-40B4-BE49-F238E27FC236}">
                <a16:creationId xmlns:a16="http://schemas.microsoft.com/office/drawing/2014/main" id="{00000000-0008-0000-0000-00005D000000}"/>
              </a:ext>
            </a:extLst>
          </xdr:cNvPr>
          <xdr:cNvSpPr txBox="1"/>
        </xdr:nvSpPr>
        <xdr:spPr>
          <a:xfrm>
            <a:off x="6524064" y="3562351"/>
            <a:ext cx="200586" cy="329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5753DB-14D8-4CF3-ABD9-FA0D2772DFAB}" type="TxLink">
              <a:rPr lang="en-US" sz="1100" b="0" i="0" u="none" strike="noStrike">
                <a:solidFill>
                  <a:schemeClr val="bg1">
                    <a:lumMod val="65000"/>
                  </a:schemeClr>
                </a:solidFill>
                <a:latin typeface="Arial" panose="020B0604020202020204" pitchFamily="34" charset="0"/>
                <a:cs typeface="Arial" panose="020B0604020202020204" pitchFamily="34" charset="0"/>
              </a:rPr>
              <a:pPr algn="ctr"/>
              <a:t>X</a:t>
            </a:fld>
            <a:endParaRPr lang="en-GB" sz="1100">
              <a:solidFill>
                <a:schemeClr val="bg1">
                  <a:lumMod val="65000"/>
                </a:schemeClr>
              </a:solidFill>
              <a:latin typeface="Arial" panose="020B0604020202020204" pitchFamily="34" charset="0"/>
              <a:cs typeface="Arial" panose="020B0604020202020204" pitchFamily="34" charset="0"/>
            </a:endParaRPr>
          </a:p>
        </xdr:txBody>
      </xdr:sp>
      <xdr:sp macro="" textlink="$AG$12">
        <xdr:nvSpPr>
          <xdr:cNvPr id="94" name="TextBox 93">
            <a:extLst>
              <a:ext uri="{FF2B5EF4-FFF2-40B4-BE49-F238E27FC236}">
                <a16:creationId xmlns:a16="http://schemas.microsoft.com/office/drawing/2014/main" id="{00000000-0008-0000-0000-00005E000000}"/>
              </a:ext>
            </a:extLst>
          </xdr:cNvPr>
          <xdr:cNvSpPr txBox="1"/>
        </xdr:nvSpPr>
        <xdr:spPr>
          <a:xfrm>
            <a:off x="6524064" y="3990976"/>
            <a:ext cx="200586" cy="329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5753DB-14D8-4CF3-ABD9-FA0D2772DFAB}" type="TxLink">
              <a:rPr lang="en-US" sz="1100" b="0" i="0" u="none" strike="noStrike">
                <a:solidFill>
                  <a:schemeClr val="bg1">
                    <a:lumMod val="65000"/>
                  </a:schemeClr>
                </a:solidFill>
                <a:latin typeface="Arial" panose="020B0604020202020204" pitchFamily="34" charset="0"/>
                <a:cs typeface="Arial" panose="020B0604020202020204" pitchFamily="34" charset="0"/>
              </a:rPr>
              <a:pPr algn="ctr"/>
              <a:t>X</a:t>
            </a:fld>
            <a:endParaRPr lang="en-GB" sz="1100">
              <a:solidFill>
                <a:schemeClr val="bg1">
                  <a:lumMod val="65000"/>
                </a:schemeClr>
              </a:solidFill>
              <a:latin typeface="Arial" panose="020B0604020202020204" pitchFamily="34" charset="0"/>
              <a:cs typeface="Arial" panose="020B0604020202020204" pitchFamily="34" charset="0"/>
            </a:endParaRPr>
          </a:p>
        </xdr:txBody>
      </xdr:sp>
      <xdr:sp macro="" textlink="$AG$12">
        <xdr:nvSpPr>
          <xdr:cNvPr id="95" name="TextBox 94">
            <a:extLst>
              <a:ext uri="{FF2B5EF4-FFF2-40B4-BE49-F238E27FC236}">
                <a16:creationId xmlns:a16="http://schemas.microsoft.com/office/drawing/2014/main" id="{00000000-0008-0000-0000-00005F000000}"/>
              </a:ext>
            </a:extLst>
          </xdr:cNvPr>
          <xdr:cNvSpPr txBox="1"/>
        </xdr:nvSpPr>
        <xdr:spPr>
          <a:xfrm>
            <a:off x="6514539" y="4362451"/>
            <a:ext cx="200586" cy="329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5753DB-14D8-4CF3-ABD9-FA0D2772DFAB}" type="TxLink">
              <a:rPr lang="en-US" sz="1100" b="0" i="0" u="none" strike="noStrike">
                <a:solidFill>
                  <a:schemeClr val="bg1">
                    <a:lumMod val="65000"/>
                  </a:schemeClr>
                </a:solidFill>
                <a:latin typeface="Arial" panose="020B0604020202020204" pitchFamily="34" charset="0"/>
                <a:cs typeface="Arial" panose="020B0604020202020204" pitchFamily="34" charset="0"/>
              </a:rPr>
              <a:pPr algn="ctr"/>
              <a:t>X</a:t>
            </a:fld>
            <a:endParaRPr lang="en-GB" sz="1100">
              <a:solidFill>
                <a:schemeClr val="bg1">
                  <a:lumMod val="65000"/>
                </a:schemeClr>
              </a:solidFill>
              <a:latin typeface="Arial" panose="020B0604020202020204" pitchFamily="34" charset="0"/>
              <a:cs typeface="Arial" panose="020B0604020202020204" pitchFamily="34" charset="0"/>
            </a:endParaRPr>
          </a:p>
        </xdr:txBody>
      </xdr:sp>
      <xdr:sp macro="" textlink="$AG$12">
        <xdr:nvSpPr>
          <xdr:cNvPr id="96" name="TextBox 95">
            <a:extLst>
              <a:ext uri="{FF2B5EF4-FFF2-40B4-BE49-F238E27FC236}">
                <a16:creationId xmlns:a16="http://schemas.microsoft.com/office/drawing/2014/main" id="{00000000-0008-0000-0000-000060000000}"/>
              </a:ext>
            </a:extLst>
          </xdr:cNvPr>
          <xdr:cNvSpPr txBox="1"/>
        </xdr:nvSpPr>
        <xdr:spPr>
          <a:xfrm>
            <a:off x="1580589" y="3133726"/>
            <a:ext cx="200586" cy="329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5753DB-14D8-4CF3-ABD9-FA0D2772DFAB}" type="TxLink">
              <a:rPr lang="en-US" sz="1100" b="0" i="0" u="none" strike="noStrike">
                <a:solidFill>
                  <a:schemeClr val="bg1">
                    <a:lumMod val="65000"/>
                  </a:schemeClr>
                </a:solidFill>
                <a:latin typeface="Arial" panose="020B0604020202020204" pitchFamily="34" charset="0"/>
                <a:cs typeface="Arial" panose="020B0604020202020204" pitchFamily="34" charset="0"/>
              </a:rPr>
              <a:pPr algn="ctr"/>
              <a:t>X</a:t>
            </a:fld>
            <a:endParaRPr lang="en-GB" sz="1100">
              <a:solidFill>
                <a:schemeClr val="bg1">
                  <a:lumMod val="65000"/>
                </a:schemeClr>
              </a:solidFill>
              <a:latin typeface="Arial" panose="020B0604020202020204" pitchFamily="34" charset="0"/>
              <a:cs typeface="Arial" panose="020B0604020202020204" pitchFamily="34" charset="0"/>
            </a:endParaRPr>
          </a:p>
        </xdr:txBody>
      </xdr:sp>
      <xdr:sp macro="" textlink="$AG$12">
        <xdr:nvSpPr>
          <xdr:cNvPr id="97" name="TextBox 96">
            <a:extLst>
              <a:ext uri="{FF2B5EF4-FFF2-40B4-BE49-F238E27FC236}">
                <a16:creationId xmlns:a16="http://schemas.microsoft.com/office/drawing/2014/main" id="{00000000-0008-0000-0000-000061000000}"/>
              </a:ext>
            </a:extLst>
          </xdr:cNvPr>
          <xdr:cNvSpPr txBox="1"/>
        </xdr:nvSpPr>
        <xdr:spPr>
          <a:xfrm>
            <a:off x="1580589" y="3562351"/>
            <a:ext cx="200586" cy="329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5753DB-14D8-4CF3-ABD9-FA0D2772DFAB}" type="TxLink">
              <a:rPr lang="en-US" sz="1100" b="0" i="0" u="none" strike="noStrike">
                <a:solidFill>
                  <a:schemeClr val="bg1">
                    <a:lumMod val="65000"/>
                  </a:schemeClr>
                </a:solidFill>
                <a:latin typeface="Arial" panose="020B0604020202020204" pitchFamily="34" charset="0"/>
                <a:cs typeface="Arial" panose="020B0604020202020204" pitchFamily="34" charset="0"/>
              </a:rPr>
              <a:pPr algn="ctr"/>
              <a:t>X</a:t>
            </a:fld>
            <a:endParaRPr lang="en-GB" sz="1100">
              <a:solidFill>
                <a:schemeClr val="bg1">
                  <a:lumMod val="65000"/>
                </a:schemeClr>
              </a:solidFill>
              <a:latin typeface="Arial" panose="020B0604020202020204" pitchFamily="34" charset="0"/>
              <a:cs typeface="Arial" panose="020B0604020202020204" pitchFamily="34" charset="0"/>
            </a:endParaRPr>
          </a:p>
        </xdr:txBody>
      </xdr:sp>
      <xdr:sp macro="" textlink="$AG$12">
        <xdr:nvSpPr>
          <xdr:cNvPr id="98" name="TextBox 97">
            <a:extLst>
              <a:ext uri="{FF2B5EF4-FFF2-40B4-BE49-F238E27FC236}">
                <a16:creationId xmlns:a16="http://schemas.microsoft.com/office/drawing/2014/main" id="{00000000-0008-0000-0000-000062000000}"/>
              </a:ext>
            </a:extLst>
          </xdr:cNvPr>
          <xdr:cNvSpPr txBox="1"/>
        </xdr:nvSpPr>
        <xdr:spPr>
          <a:xfrm>
            <a:off x="1580589" y="3990976"/>
            <a:ext cx="200586" cy="329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5753DB-14D8-4CF3-ABD9-FA0D2772DFAB}" type="TxLink">
              <a:rPr lang="en-US" sz="1100" b="0" i="0" u="none" strike="noStrike">
                <a:solidFill>
                  <a:schemeClr val="bg1">
                    <a:lumMod val="65000"/>
                  </a:schemeClr>
                </a:solidFill>
                <a:latin typeface="Arial" panose="020B0604020202020204" pitchFamily="34" charset="0"/>
                <a:cs typeface="Arial" panose="020B0604020202020204" pitchFamily="34" charset="0"/>
              </a:rPr>
              <a:pPr algn="ctr"/>
              <a:t>X</a:t>
            </a:fld>
            <a:endParaRPr lang="en-GB" sz="1100">
              <a:solidFill>
                <a:schemeClr val="bg1">
                  <a:lumMod val="65000"/>
                </a:schemeClr>
              </a:solidFill>
              <a:latin typeface="Arial" panose="020B0604020202020204" pitchFamily="34" charset="0"/>
              <a:cs typeface="Arial" panose="020B0604020202020204" pitchFamily="34" charset="0"/>
            </a:endParaRPr>
          </a:p>
        </xdr:txBody>
      </xdr:sp>
      <xdr:sp macro="" textlink="$AG$12">
        <xdr:nvSpPr>
          <xdr:cNvPr id="99" name="TextBox 98">
            <a:extLst>
              <a:ext uri="{FF2B5EF4-FFF2-40B4-BE49-F238E27FC236}">
                <a16:creationId xmlns:a16="http://schemas.microsoft.com/office/drawing/2014/main" id="{00000000-0008-0000-0000-000063000000}"/>
              </a:ext>
            </a:extLst>
          </xdr:cNvPr>
          <xdr:cNvSpPr txBox="1"/>
        </xdr:nvSpPr>
        <xdr:spPr>
          <a:xfrm>
            <a:off x="1580589" y="4362451"/>
            <a:ext cx="200586" cy="329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5753DB-14D8-4CF3-ABD9-FA0D2772DFAB}" type="TxLink">
              <a:rPr lang="en-US" sz="1100" b="0" i="0" u="none" strike="noStrike">
                <a:solidFill>
                  <a:schemeClr val="bg1">
                    <a:lumMod val="65000"/>
                  </a:schemeClr>
                </a:solidFill>
                <a:latin typeface="Arial" panose="020B0604020202020204" pitchFamily="34" charset="0"/>
                <a:cs typeface="Arial" panose="020B0604020202020204" pitchFamily="34" charset="0"/>
              </a:rPr>
              <a:pPr algn="ctr"/>
              <a:t>X</a:t>
            </a:fld>
            <a:endParaRPr lang="en-GB" sz="1100">
              <a:solidFill>
                <a:schemeClr val="bg1">
                  <a:lumMod val="65000"/>
                </a:schemeClr>
              </a:solidFill>
              <a:latin typeface="Arial" panose="020B0604020202020204" pitchFamily="34" charset="0"/>
              <a:cs typeface="Arial" panose="020B0604020202020204" pitchFamily="34" charset="0"/>
            </a:endParaRPr>
          </a:p>
        </xdr:txBody>
      </xdr:sp>
      <xdr:cxnSp macro="">
        <xdr:nvCxnSpPr>
          <xdr:cNvPr id="74" name="Straight Arrow Connector 73">
            <a:extLst>
              <a:ext uri="{FF2B5EF4-FFF2-40B4-BE49-F238E27FC236}">
                <a16:creationId xmlns:a16="http://schemas.microsoft.com/office/drawing/2014/main" id="{00000000-0008-0000-0000-00004A000000}"/>
              </a:ext>
            </a:extLst>
          </xdr:cNvPr>
          <xdr:cNvCxnSpPr/>
        </xdr:nvCxnSpPr>
        <xdr:spPr>
          <a:xfrm>
            <a:off x="1677472" y="5418662"/>
            <a:ext cx="4933950" cy="0"/>
          </a:xfrm>
          <a:prstGeom prst="straightConnector1">
            <a:avLst/>
          </a:prstGeom>
          <a:ln>
            <a:solidFill>
              <a:schemeClr val="bg1">
                <a:lumMod val="65000"/>
              </a:schemeClr>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 name="Straight Arrow Connector 74">
            <a:extLst>
              <a:ext uri="{FF2B5EF4-FFF2-40B4-BE49-F238E27FC236}">
                <a16:creationId xmlns:a16="http://schemas.microsoft.com/office/drawing/2014/main" id="{00000000-0008-0000-0000-00004B000000}"/>
              </a:ext>
            </a:extLst>
          </xdr:cNvPr>
          <xdr:cNvCxnSpPr/>
        </xdr:nvCxnSpPr>
        <xdr:spPr>
          <a:xfrm flipV="1">
            <a:off x="933450" y="3295650"/>
            <a:ext cx="0" cy="1600200"/>
          </a:xfrm>
          <a:prstGeom prst="straightConnector1">
            <a:avLst/>
          </a:prstGeom>
          <a:ln>
            <a:solidFill>
              <a:schemeClr val="bg1">
                <a:lumMod val="65000"/>
              </a:schemeClr>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000-000053000000}"/>
              </a:ext>
            </a:extLst>
          </xdr:cNvPr>
          <xdr:cNvCxnSpPr/>
        </xdr:nvCxnSpPr>
        <xdr:spPr>
          <a:xfrm>
            <a:off x="819150" y="3295650"/>
            <a:ext cx="219075" cy="0"/>
          </a:xfrm>
          <a:prstGeom prst="line">
            <a:avLst/>
          </a:prstGeom>
          <a:ln>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000-000054000000}"/>
              </a:ext>
            </a:extLst>
          </xdr:cNvPr>
          <xdr:cNvCxnSpPr/>
        </xdr:nvCxnSpPr>
        <xdr:spPr>
          <a:xfrm>
            <a:off x="819150" y="4895850"/>
            <a:ext cx="219075" cy="0"/>
          </a:xfrm>
          <a:prstGeom prst="line">
            <a:avLst/>
          </a:prstGeom>
          <a:ln>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00000000-0008-0000-0000-000055000000}"/>
              </a:ext>
            </a:extLst>
          </xdr:cNvPr>
          <xdr:cNvCxnSpPr/>
        </xdr:nvCxnSpPr>
        <xdr:spPr>
          <a:xfrm rot="5400000">
            <a:off x="1571625" y="5419727"/>
            <a:ext cx="219075" cy="0"/>
          </a:xfrm>
          <a:prstGeom prst="line">
            <a:avLst/>
          </a:prstGeom>
          <a:ln>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000-000056000000}"/>
              </a:ext>
            </a:extLst>
          </xdr:cNvPr>
          <xdr:cNvCxnSpPr/>
        </xdr:nvCxnSpPr>
        <xdr:spPr>
          <a:xfrm rot="5400000">
            <a:off x="6505575" y="5419728"/>
            <a:ext cx="219075" cy="0"/>
          </a:xfrm>
          <a:prstGeom prst="line">
            <a:avLst/>
          </a:prstGeom>
          <a:ln>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sp macro="" textlink="$AG$10">
        <xdr:nvSpPr>
          <xdr:cNvPr id="88" name="TextBox 87">
            <a:extLst>
              <a:ext uri="{FF2B5EF4-FFF2-40B4-BE49-F238E27FC236}">
                <a16:creationId xmlns:a16="http://schemas.microsoft.com/office/drawing/2014/main" id="{00000000-0008-0000-0000-000058000000}"/>
              </a:ext>
            </a:extLst>
          </xdr:cNvPr>
          <xdr:cNvSpPr txBox="1"/>
        </xdr:nvSpPr>
        <xdr:spPr>
          <a:xfrm>
            <a:off x="3429000" y="5124450"/>
            <a:ext cx="1515596" cy="329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BFADAE-00AF-402A-8B23-AD2FFABBD758}" type="TxLink">
              <a:rPr lang="en-US" sz="1100" b="0" i="0" u="none" strike="noStrike">
                <a:solidFill>
                  <a:srgbClr val="000000"/>
                </a:solidFill>
                <a:latin typeface="Calibri"/>
              </a:rPr>
              <a:pPr algn="ctr"/>
              <a:t>30m</a:t>
            </a:fld>
            <a:endParaRPr lang="en-GB" sz="1100"/>
          </a:p>
        </xdr:txBody>
      </xdr:sp>
      <xdr:sp macro="" textlink="$AG$11">
        <xdr:nvSpPr>
          <xdr:cNvPr id="89" name="TextBox 88">
            <a:extLst>
              <a:ext uri="{FF2B5EF4-FFF2-40B4-BE49-F238E27FC236}">
                <a16:creationId xmlns:a16="http://schemas.microsoft.com/office/drawing/2014/main" id="{00000000-0008-0000-0000-000059000000}"/>
              </a:ext>
            </a:extLst>
          </xdr:cNvPr>
          <xdr:cNvSpPr txBox="1"/>
        </xdr:nvSpPr>
        <xdr:spPr>
          <a:xfrm rot="16200000">
            <a:off x="47625" y="3933825"/>
            <a:ext cx="1515596" cy="329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78959F8-1172-40BF-BD68-A6955C41EA7C}" type="TxLink">
              <a:rPr lang="en-US" sz="1100" b="0" i="0" u="none" strike="noStrike">
                <a:solidFill>
                  <a:srgbClr val="000000"/>
                </a:solidFill>
                <a:latin typeface="Calibri"/>
              </a:rPr>
              <a:pPr algn="ctr"/>
              <a:t>12m</a:t>
            </a:fld>
            <a:endParaRPr lang="en-GB" sz="1100"/>
          </a:p>
        </xdr:txBody>
      </xdr:sp>
      <xdr:sp macro="" textlink="$AI$9">
        <xdr:nvSpPr>
          <xdr:cNvPr id="101" name="TextBox 100">
            <a:extLst>
              <a:ext uri="{FF2B5EF4-FFF2-40B4-BE49-F238E27FC236}">
                <a16:creationId xmlns:a16="http://schemas.microsoft.com/office/drawing/2014/main" id="{00000000-0008-0000-0000-000065000000}"/>
              </a:ext>
            </a:extLst>
          </xdr:cNvPr>
          <xdr:cNvSpPr txBox="1"/>
        </xdr:nvSpPr>
        <xdr:spPr>
          <a:xfrm>
            <a:off x="6181164" y="4505326"/>
            <a:ext cx="2086536" cy="329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79B5A36-28CA-47F3-BFE7-2EA49E744E14}" type="TxLink">
              <a:rPr lang="en-US" sz="1100" b="0" i="0" u="none" strike="noStrike">
                <a:solidFill>
                  <a:srgbClr val="000000"/>
                </a:solidFill>
                <a:latin typeface="Calibri"/>
              </a:rPr>
              <a:pPr algn="ctr"/>
              <a:t>Frames at 7m crs</a:t>
            </a:fld>
            <a:endParaRPr lang="en-GB" sz="1100"/>
          </a:p>
        </xdr:txBody>
      </xdr:sp>
    </xdr:grpSp>
    <xdr:clientData/>
  </xdr:twoCellAnchor>
  <xdr:twoCellAnchor editAs="absolute">
    <xdr:from>
      <xdr:col>29</xdr:col>
      <xdr:colOff>133030</xdr:colOff>
      <xdr:row>7</xdr:row>
      <xdr:rowOff>54429</xdr:rowOff>
    </xdr:from>
    <xdr:to>
      <xdr:col>31</xdr:col>
      <xdr:colOff>471208</xdr:colOff>
      <xdr:row>13</xdr:row>
      <xdr:rowOff>87086</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8749393" y="1673679"/>
          <a:ext cx="2428875" cy="1257300"/>
        </a:xfrm>
        <a:prstGeom prst="rect">
          <a:avLst/>
        </a:prstGeom>
        <a:no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GB" sz="1100" b="1">
              <a:solidFill>
                <a:srgbClr val="FF0000"/>
              </a:solidFill>
            </a:rPr>
            <a:t>NOTE</a:t>
          </a:r>
          <a:r>
            <a:rPr lang="pl-PL" sz="1100" b="1">
              <a:solidFill>
                <a:srgbClr val="FF0000"/>
              </a:solidFill>
            </a:rPr>
            <a:t>:</a:t>
          </a:r>
          <a:r>
            <a:rPr lang="en-GB" sz="1100" b="1">
              <a:solidFill>
                <a:srgbClr val="FF0000"/>
              </a:solidFill>
            </a:rPr>
            <a:t> </a:t>
          </a:r>
          <a:r>
            <a:rPr lang="en-GB" sz="1100">
              <a:solidFill>
                <a:schemeClr val="dk1"/>
              </a:solidFill>
              <a:effectLst/>
              <a:latin typeface="+mn-lt"/>
              <a:ea typeface="+mn-ea"/>
              <a:cs typeface="+mn-cs"/>
            </a:rPr>
            <a:t>In this </a:t>
          </a:r>
          <a:r>
            <a:rPr lang="pl-PL" sz="1100">
              <a:solidFill>
                <a:schemeClr val="dk1"/>
              </a:solidFill>
              <a:effectLst/>
              <a:latin typeface="+mn-lt"/>
              <a:ea typeface="+mn-ea"/>
              <a:cs typeface="+mn-cs"/>
            </a:rPr>
            <a:t>FREE L</a:t>
          </a:r>
          <a:r>
            <a:rPr lang="en-GB" sz="1100">
              <a:solidFill>
                <a:schemeClr val="dk1"/>
              </a:solidFill>
              <a:effectLst/>
              <a:latin typeface="+mn-lt"/>
              <a:ea typeface="+mn-ea"/>
              <a:cs typeface="+mn-cs"/>
            </a:rPr>
            <a:t>ite version you cannot change the company logo nor company information. Also, cells marked with this colour</a:t>
          </a:r>
          <a:r>
            <a:rPr lang="en-GB" sz="1100" baseline="0">
              <a:solidFill>
                <a:schemeClr val="dk1"/>
              </a:solidFill>
              <a:effectLst/>
              <a:latin typeface="+mn-lt"/>
              <a:ea typeface="+mn-ea"/>
              <a:cs typeface="+mn-cs"/>
            </a:rPr>
            <a:t> are locked:</a:t>
          </a:r>
          <a:endParaRPr lang="en-GB">
            <a:effectLst/>
          </a:endParaRPr>
        </a:p>
      </xdr:txBody>
    </xdr:sp>
    <xdr:clientData/>
  </xdr:twoCellAnchor>
  <xdr:twoCellAnchor editAs="absolute">
    <xdr:from>
      <xdr:col>29</xdr:col>
      <xdr:colOff>228280</xdr:colOff>
      <xdr:row>11</xdr:row>
      <xdr:rowOff>47624</xdr:rowOff>
    </xdr:from>
    <xdr:to>
      <xdr:col>30</xdr:col>
      <xdr:colOff>371457</xdr:colOff>
      <xdr:row>12</xdr:row>
      <xdr:rowOff>134559</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8844643" y="2483303"/>
          <a:ext cx="755499" cy="291042"/>
        </a:xfrm>
        <a:prstGeom prst="rect">
          <a:avLst/>
        </a:prstGeom>
        <a:solidFill>
          <a:srgbClr val="CCFF33"/>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editAs="absolute">
    <xdr:from>
      <xdr:col>30</xdr:col>
      <xdr:colOff>457182</xdr:colOff>
      <xdr:row>11</xdr:row>
      <xdr:rowOff>66675</xdr:rowOff>
    </xdr:from>
    <xdr:to>
      <xdr:col>30</xdr:col>
      <xdr:colOff>1236899</xdr:colOff>
      <xdr:row>12</xdr:row>
      <xdr:rowOff>115509</xdr:rowOff>
    </xdr:to>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9685867" y="2502354"/>
          <a:ext cx="749300" cy="2529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b="1"/>
            <a:t>LOCKED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rspreadsheets.co.uk/"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info@yourspreadsheets.co.uk" TargetMode="External"/><Relationship Id="rId1" Type="http://schemas.openxmlformats.org/officeDocument/2006/relationships/hyperlink" Target="http://www.yourspreadsheets.co.uk/"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autoPageBreaks="0"/>
  </sheetPr>
  <dimension ref="A1:AM86"/>
  <sheetViews>
    <sheetView showGridLines="0" tabSelected="1" zoomScale="85" zoomScaleNormal="85" workbookViewId="0">
      <selection activeCell="M33" sqref="M33:N33"/>
    </sheetView>
  </sheetViews>
  <sheetFormatPr defaultColWidth="9.140625" defaultRowHeight="15"/>
  <cols>
    <col min="1" max="1" width="2.5703125" style="8" customWidth="1"/>
    <col min="2" max="2" width="1.7109375" style="8" customWidth="1"/>
    <col min="3" max="3" width="6.7109375" style="8" bestFit="1" customWidth="1"/>
    <col min="4" max="4" width="4.85546875" style="8" customWidth="1"/>
    <col min="5" max="14" width="4.7109375" style="8" customWidth="1"/>
    <col min="15" max="15" width="3.28515625" style="8" customWidth="1"/>
    <col min="16" max="25" width="4.7109375" style="8" customWidth="1"/>
    <col min="26" max="28" width="4.7109375" style="7" customWidth="1"/>
    <col min="29" max="29" width="2" style="7" customWidth="1"/>
    <col min="30" max="30" width="9.140625" style="7" customWidth="1"/>
    <col min="31" max="31" width="22.28515625" style="7" bestFit="1" customWidth="1"/>
    <col min="32" max="32" width="11.7109375" style="7" bestFit="1" customWidth="1"/>
    <col min="33" max="33" width="15.5703125" style="7" bestFit="1" customWidth="1"/>
    <col min="34" max="34" width="16.140625" style="7" bestFit="1" customWidth="1"/>
    <col min="35" max="35" width="24.5703125" style="8" bestFit="1" customWidth="1"/>
    <col min="36" max="37" width="15.5703125" style="8" bestFit="1" customWidth="1"/>
    <col min="38" max="38" width="16.5703125" style="8" bestFit="1" customWidth="1"/>
    <col min="39" max="39" width="15.5703125" style="8" bestFit="1" customWidth="1"/>
    <col min="40" max="16384" width="9.140625" style="8"/>
  </cols>
  <sheetData>
    <row r="1" spans="1:39" ht="15" customHeight="1">
      <c r="A1" s="1"/>
      <c r="B1" s="77" t="s">
        <v>99</v>
      </c>
      <c r="C1" s="77"/>
      <c r="D1" s="77"/>
      <c r="E1" s="77"/>
      <c r="F1" s="77"/>
      <c r="G1" s="77"/>
      <c r="H1" s="77"/>
      <c r="I1" s="77"/>
      <c r="J1" s="77"/>
      <c r="K1" s="77"/>
      <c r="L1" s="77"/>
      <c r="M1" s="77"/>
      <c r="N1" s="77"/>
      <c r="O1" s="77"/>
      <c r="P1" s="77"/>
      <c r="Q1" s="78" t="s">
        <v>18</v>
      </c>
      <c r="R1" s="78"/>
      <c r="S1" s="78"/>
      <c r="T1" s="78"/>
      <c r="U1" s="78"/>
      <c r="V1" s="78"/>
      <c r="W1" s="78"/>
      <c r="X1" s="78"/>
      <c r="Y1" s="78"/>
      <c r="Z1" s="78"/>
      <c r="AA1" s="78"/>
      <c r="AB1" s="78"/>
      <c r="AC1" s="78"/>
      <c r="AD1" s="14"/>
      <c r="AE1" s="14"/>
      <c r="AF1" s="14"/>
      <c r="AG1" s="14"/>
      <c r="AH1" s="8"/>
    </row>
    <row r="2" spans="1:39" ht="19.5" customHeight="1">
      <c r="A2" s="1"/>
      <c r="B2" s="50"/>
      <c r="C2" s="51"/>
      <c r="D2" s="51"/>
      <c r="E2" s="67" t="s">
        <v>10</v>
      </c>
      <c r="F2" s="67"/>
      <c r="G2" s="67"/>
      <c r="H2" s="67"/>
      <c r="I2" s="67"/>
      <c r="J2" s="67"/>
      <c r="K2" s="67"/>
      <c r="L2" s="67"/>
      <c r="M2" s="67"/>
      <c r="N2" s="67"/>
      <c r="O2" s="67"/>
      <c r="P2" s="70" t="s">
        <v>1</v>
      </c>
      <c r="Q2" s="71"/>
      <c r="R2" s="71"/>
      <c r="S2" s="71"/>
      <c r="T2" s="71"/>
      <c r="U2" s="71"/>
      <c r="V2" s="71"/>
      <c r="W2" s="79"/>
      <c r="X2" s="79"/>
      <c r="Y2" s="79"/>
      <c r="Z2" s="79"/>
      <c r="AA2" s="79"/>
      <c r="AB2" s="79"/>
      <c r="AC2" s="52"/>
      <c r="AD2" s="15"/>
      <c r="AE2" s="15"/>
      <c r="AF2" s="45" t="s">
        <v>78</v>
      </c>
      <c r="AG2" s="8">
        <v>15</v>
      </c>
      <c r="AH2" s="8"/>
      <c r="AI2" s="45" t="s">
        <v>77</v>
      </c>
      <c r="AJ2" s="8">
        <v>6</v>
      </c>
      <c r="AL2" s="45" t="s">
        <v>76</v>
      </c>
      <c r="AM2" s="8">
        <v>8</v>
      </c>
    </row>
    <row r="3" spans="1:39" ht="19.5" customHeight="1">
      <c r="A3" s="1"/>
      <c r="B3" s="53"/>
      <c r="C3" s="54"/>
      <c r="D3" s="54"/>
      <c r="E3" s="68"/>
      <c r="F3" s="68"/>
      <c r="G3" s="68"/>
      <c r="H3" s="68"/>
      <c r="I3" s="68"/>
      <c r="J3" s="68"/>
      <c r="K3" s="68"/>
      <c r="L3" s="68"/>
      <c r="M3" s="68"/>
      <c r="N3" s="68"/>
      <c r="O3" s="68"/>
      <c r="P3" s="72"/>
      <c r="Q3" s="73"/>
      <c r="R3" s="73"/>
      <c r="S3" s="73"/>
      <c r="T3" s="73"/>
      <c r="U3" s="73"/>
      <c r="V3" s="73"/>
      <c r="W3" s="58" t="s">
        <v>2</v>
      </c>
      <c r="X3" s="59"/>
      <c r="Y3" s="60"/>
      <c r="Z3" s="80" t="s">
        <v>0</v>
      </c>
      <c r="AA3" s="81"/>
      <c r="AB3" s="81"/>
      <c r="AC3" s="82"/>
      <c r="AD3" s="15"/>
      <c r="AE3" s="15"/>
      <c r="AF3" s="42">
        <f>IF(M32&lt;=15,1,IF(M32&lt;=20,2,IF(M32&lt;=25,3,IF(M32&lt;=40,4,5))))</f>
        <v>4</v>
      </c>
      <c r="AG3" s="8">
        <v>20</v>
      </c>
      <c r="AH3" s="8"/>
      <c r="AI3" s="8">
        <f>IF(M31&lt;AJ2,1,IF(M31&gt;AJ5,"outside the scope",IF(ISERROR(MATCH(M31,AJ2:AJ5,0)),1+MATCH(M31,AJ2:AJ5,1),MATCH(M31,AJ2:AJ5,0))))</f>
        <v>4</v>
      </c>
      <c r="AJ3" s="8">
        <v>8</v>
      </c>
      <c r="AL3" s="8">
        <f>IF(M44&lt;AM2,1,IF(M44&gt;AM6,"outside the scope",IF(ISERROR(MATCH(M44,AM2:AM6,0)),1+MATCH(M44,AM2:AM6,1),MATCH(M44,AM2:AM6,0))))</f>
        <v>4</v>
      </c>
      <c r="AM3" s="8">
        <v>10</v>
      </c>
    </row>
    <row r="4" spans="1:39" ht="19.5" customHeight="1">
      <c r="A4" s="1"/>
      <c r="B4" s="53"/>
      <c r="C4"/>
      <c r="D4"/>
      <c r="E4" s="68"/>
      <c r="F4" s="68"/>
      <c r="G4" s="68"/>
      <c r="H4" s="68"/>
      <c r="I4" s="68"/>
      <c r="J4" s="68"/>
      <c r="K4" s="68"/>
      <c r="L4" s="68"/>
      <c r="M4" s="68"/>
      <c r="N4" s="68"/>
      <c r="O4" s="68"/>
      <c r="P4" s="72"/>
      <c r="Q4" s="73"/>
      <c r="R4" s="73"/>
      <c r="S4" s="73"/>
      <c r="T4" s="73"/>
      <c r="U4" s="73"/>
      <c r="V4" s="73"/>
      <c r="W4" s="58" t="s">
        <v>3</v>
      </c>
      <c r="X4" s="59"/>
      <c r="Y4" s="60"/>
      <c r="Z4" s="61">
        <v>12</v>
      </c>
      <c r="AA4" s="62"/>
      <c r="AB4" s="62"/>
      <c r="AC4" s="63"/>
      <c r="AD4" s="15"/>
      <c r="AE4" s="15"/>
      <c r="AF4" s="8"/>
      <c r="AG4" s="8">
        <v>25</v>
      </c>
      <c r="AH4" s="8"/>
      <c r="AJ4" s="8">
        <v>10</v>
      </c>
      <c r="AM4" s="8">
        <v>12</v>
      </c>
    </row>
    <row r="5" spans="1:39" ht="19.5" customHeight="1">
      <c r="A5" s="1"/>
      <c r="B5" s="55"/>
      <c r="C5" s="56"/>
      <c r="D5" s="56"/>
      <c r="E5" s="69"/>
      <c r="F5" s="69"/>
      <c r="G5" s="69"/>
      <c r="H5" s="69"/>
      <c r="I5" s="69"/>
      <c r="J5" s="69"/>
      <c r="K5" s="69"/>
      <c r="L5" s="69"/>
      <c r="M5" s="69"/>
      <c r="N5" s="69"/>
      <c r="O5" s="69"/>
      <c r="P5" s="58" t="s">
        <v>4</v>
      </c>
      <c r="Q5" s="59"/>
      <c r="R5" s="59"/>
      <c r="S5" s="74">
        <v>22813</v>
      </c>
      <c r="T5" s="75"/>
      <c r="U5" s="75"/>
      <c r="V5" s="76"/>
      <c r="W5" s="58" t="s">
        <v>5</v>
      </c>
      <c r="X5" s="59"/>
      <c r="Y5" s="60"/>
      <c r="Z5" s="64">
        <f ca="1">TODAY()</f>
        <v>45022</v>
      </c>
      <c r="AA5" s="65"/>
      <c r="AB5" s="65"/>
      <c r="AC5" s="66"/>
      <c r="AD5" s="15"/>
      <c r="AE5" s="15"/>
      <c r="AF5" s="8"/>
      <c r="AG5" s="8">
        <v>30</v>
      </c>
      <c r="AH5" s="8"/>
      <c r="AJ5" s="8">
        <v>12</v>
      </c>
      <c r="AM5" s="8">
        <v>14</v>
      </c>
    </row>
    <row r="6" spans="1:39" ht="20.100000000000001" customHeight="1">
      <c r="A6" s="1"/>
      <c r="B6" s="57"/>
      <c r="C6" s="84" t="s">
        <v>6</v>
      </c>
      <c r="D6" s="85"/>
      <c r="E6" s="87" t="s">
        <v>21</v>
      </c>
      <c r="F6" s="88"/>
      <c r="G6" s="88"/>
      <c r="H6" s="88"/>
      <c r="I6" s="88"/>
      <c r="J6" s="88"/>
      <c r="K6" s="88"/>
      <c r="L6" s="88"/>
      <c r="M6" s="88"/>
      <c r="N6" s="88"/>
      <c r="O6" s="88"/>
      <c r="P6" s="58" t="s">
        <v>7</v>
      </c>
      <c r="Q6" s="59"/>
      <c r="R6" s="59"/>
      <c r="S6" s="74" t="s">
        <v>8</v>
      </c>
      <c r="T6" s="75"/>
      <c r="U6" s="75"/>
      <c r="V6" s="76"/>
      <c r="W6" s="58" t="s">
        <v>9</v>
      </c>
      <c r="X6" s="59"/>
      <c r="Y6" s="60"/>
      <c r="Z6" s="64" t="s">
        <v>8</v>
      </c>
      <c r="AA6" s="65"/>
      <c r="AB6" s="65"/>
      <c r="AC6" s="66"/>
      <c r="AD6" s="16"/>
      <c r="AE6" s="16"/>
      <c r="AF6" s="8"/>
      <c r="AG6" s="8">
        <v>35</v>
      </c>
      <c r="AH6" s="8"/>
      <c r="AM6" s="8">
        <v>16</v>
      </c>
    </row>
    <row r="7" spans="1:39" ht="17.100000000000001" customHeight="1">
      <c r="B7" s="2"/>
      <c r="C7" s="3"/>
      <c r="D7" s="3"/>
      <c r="E7" s="4"/>
      <c r="F7" s="4"/>
      <c r="G7" s="4"/>
      <c r="H7" s="4"/>
      <c r="I7" s="4"/>
      <c r="J7" s="4"/>
      <c r="K7" s="4"/>
      <c r="L7" s="4"/>
      <c r="M7" s="4"/>
      <c r="N7" s="4"/>
      <c r="O7" s="4"/>
      <c r="P7" s="4"/>
      <c r="Q7" s="4"/>
      <c r="R7" s="4"/>
      <c r="S7" s="4"/>
      <c r="T7" s="4"/>
      <c r="U7" s="4"/>
      <c r="V7" s="4"/>
      <c r="W7" s="4"/>
      <c r="X7" s="4"/>
      <c r="Y7" s="4"/>
      <c r="Z7" s="5"/>
      <c r="AA7" s="5"/>
      <c r="AB7" s="5"/>
      <c r="AC7" s="6"/>
      <c r="AF7" s="8"/>
      <c r="AG7" s="8">
        <v>40</v>
      </c>
      <c r="AH7" s="8"/>
    </row>
    <row r="8" spans="1:39" ht="17.100000000000001" customHeight="1">
      <c r="B8" s="2"/>
      <c r="C8" s="3"/>
      <c r="D8" s="3"/>
      <c r="E8" s="4"/>
      <c r="F8" s="4"/>
      <c r="G8" s="4"/>
      <c r="H8" s="4"/>
      <c r="I8" s="4"/>
      <c r="J8" s="4"/>
      <c r="K8" s="4"/>
      <c r="L8" s="4"/>
      <c r="M8" s="4"/>
      <c r="N8" s="4"/>
      <c r="O8" s="4"/>
      <c r="P8" s="4"/>
      <c r="Q8" s="4"/>
      <c r="R8" s="4"/>
      <c r="S8" s="4"/>
      <c r="T8" s="4"/>
      <c r="U8" s="4"/>
      <c r="V8" s="4"/>
      <c r="W8" s="4"/>
      <c r="X8" s="4"/>
      <c r="Y8" s="4"/>
      <c r="Z8" s="5"/>
      <c r="AA8" s="5"/>
      <c r="AB8" s="5"/>
      <c r="AC8" s="6"/>
      <c r="AF8" s="8"/>
      <c r="AG8" s="8"/>
      <c r="AH8" s="8"/>
    </row>
    <row r="9" spans="1:39" ht="17.100000000000001" customHeight="1">
      <c r="B9" s="2"/>
      <c r="C9" s="4"/>
      <c r="D9" s="4"/>
      <c r="E9" s="4"/>
      <c r="F9" s="4"/>
      <c r="G9" s="4"/>
      <c r="H9" s="4"/>
      <c r="I9" s="4"/>
      <c r="J9" s="4"/>
      <c r="K9" s="4"/>
      <c r="L9" s="4"/>
      <c r="M9" s="4"/>
      <c r="N9" s="4"/>
      <c r="O9" s="4"/>
      <c r="P9" s="4"/>
      <c r="Q9" s="4"/>
      <c r="R9" s="4"/>
      <c r="S9" s="4"/>
      <c r="T9" s="4"/>
      <c r="U9" s="4"/>
      <c r="V9" s="4"/>
      <c r="W9" s="4"/>
      <c r="X9" s="4"/>
      <c r="Y9" s="4"/>
      <c r="Z9" s="4"/>
      <c r="AA9" s="4"/>
      <c r="AB9" s="4"/>
      <c r="AC9" s="6"/>
      <c r="AH9" s="7" t="s">
        <v>96</v>
      </c>
      <c r="AI9" s="8" t="str">
        <f>"Frames at "&amp;M33&amp;"m crs"</f>
        <v>Frames at 7m crs</v>
      </c>
    </row>
    <row r="10" spans="1:39" ht="17.100000000000001" customHeight="1">
      <c r="B10" s="2"/>
      <c r="C10" s="89" t="s">
        <v>12</v>
      </c>
      <c r="D10" s="90"/>
      <c r="E10" s="90"/>
      <c r="F10" s="90"/>
      <c r="G10" s="90"/>
      <c r="H10" s="90"/>
      <c r="I10" s="90"/>
      <c r="J10" s="90"/>
      <c r="K10" s="90"/>
      <c r="L10" s="90"/>
      <c r="M10" s="90"/>
      <c r="N10" s="90"/>
      <c r="O10" s="90"/>
      <c r="P10" s="90"/>
      <c r="Q10" s="90"/>
      <c r="R10" s="90"/>
      <c r="S10" s="90"/>
      <c r="T10" s="90"/>
      <c r="U10" s="90"/>
      <c r="V10" s="90"/>
      <c r="W10" s="90"/>
      <c r="X10" s="90"/>
      <c r="Y10" s="90"/>
      <c r="Z10" s="90"/>
      <c r="AA10" s="90"/>
      <c r="AB10" s="91"/>
      <c r="AC10" s="6"/>
      <c r="AF10" s="7" t="s">
        <v>92</v>
      </c>
      <c r="AG10" s="7" t="s">
        <v>103</v>
      </c>
      <c r="AH10" s="7" t="s">
        <v>62</v>
      </c>
      <c r="AI10" s="8" t="str">
        <f>J47&amp;" Rafter"</f>
        <v>533×210×82 UB Rafter</v>
      </c>
    </row>
    <row r="11" spans="1:39" ht="17.100000000000001" customHeight="1">
      <c r="B11" s="2"/>
      <c r="C11" s="34"/>
      <c r="D11" s="35"/>
      <c r="E11" s="35"/>
      <c r="F11" s="35"/>
      <c r="G11" s="35"/>
      <c r="H11" s="35"/>
      <c r="I11" s="35"/>
      <c r="J11" s="35"/>
      <c r="K11" s="35"/>
      <c r="L11" s="35"/>
      <c r="M11" s="35"/>
      <c r="N11" s="35"/>
      <c r="O11" s="35"/>
      <c r="P11" s="35"/>
      <c r="Q11" s="35"/>
      <c r="R11" s="35"/>
      <c r="S11" s="35"/>
      <c r="T11" s="35"/>
      <c r="U11" s="35"/>
      <c r="V11" s="35"/>
      <c r="W11" s="35"/>
      <c r="X11" s="35"/>
      <c r="Y11" s="35"/>
      <c r="Z11" s="35"/>
      <c r="AA11" s="35"/>
      <c r="AB11" s="36"/>
      <c r="AC11" s="6"/>
      <c r="AF11" s="7" t="s">
        <v>75</v>
      </c>
      <c r="AG11" s="7" t="str">
        <f>M31&amp;"m"</f>
        <v>12m</v>
      </c>
      <c r="AH11" s="7" t="s">
        <v>94</v>
      </c>
      <c r="AI11" s="8" t="str">
        <f>J48&amp;" Stanchion"</f>
        <v>686×254×125 UB Stanchion</v>
      </c>
    </row>
    <row r="12" spans="1:39" ht="17.100000000000001" customHeight="1">
      <c r="B12" s="2"/>
      <c r="C12" s="37"/>
      <c r="D12" s="33"/>
      <c r="E12" s="33"/>
      <c r="F12" s="33"/>
      <c r="G12" s="33"/>
      <c r="H12" s="33"/>
      <c r="I12" s="33"/>
      <c r="J12" s="33"/>
      <c r="K12" s="33"/>
      <c r="L12" s="33"/>
      <c r="M12" s="33"/>
      <c r="N12" s="33"/>
      <c r="O12" s="33"/>
      <c r="P12" s="33"/>
      <c r="Q12" s="33"/>
      <c r="R12" s="33"/>
      <c r="S12" s="33"/>
      <c r="T12" s="33"/>
      <c r="U12" s="33"/>
      <c r="V12" s="33"/>
      <c r="W12" s="33"/>
      <c r="X12" s="33"/>
      <c r="Y12" s="33"/>
      <c r="Z12" s="33"/>
      <c r="AA12" s="33"/>
      <c r="AB12" s="38"/>
      <c r="AC12" s="6"/>
      <c r="AF12" s="7" t="s">
        <v>93</v>
      </c>
      <c r="AG12" s="7" t="str">
        <f>IF(M34="Yes","X","")</f>
        <v>X</v>
      </c>
      <c r="AH12" s="7" t="s">
        <v>95</v>
      </c>
      <c r="AI12" s="8" t="str">
        <f>J49&amp;" Hunch"</f>
        <v>610×229×101 UB Hunch</v>
      </c>
    </row>
    <row r="13" spans="1:39" ht="17.100000000000001" customHeight="1">
      <c r="B13" s="2"/>
      <c r="C13" s="37"/>
      <c r="D13" s="33"/>
      <c r="E13" s="33"/>
      <c r="F13" s="33"/>
      <c r="G13" s="33"/>
      <c r="H13" s="33"/>
      <c r="I13" s="33"/>
      <c r="J13" s="33"/>
      <c r="K13" s="33"/>
      <c r="L13" s="33"/>
      <c r="M13" s="33"/>
      <c r="N13" s="33"/>
      <c r="O13" s="33"/>
      <c r="P13" s="33"/>
      <c r="Q13" s="33"/>
      <c r="R13" s="33"/>
      <c r="S13" s="33"/>
      <c r="T13" s="33"/>
      <c r="U13" s="33"/>
      <c r="V13" s="33"/>
      <c r="W13" s="33"/>
      <c r="X13" s="33"/>
      <c r="Y13" s="33"/>
      <c r="Z13" s="33"/>
      <c r="AA13" s="33"/>
      <c r="AB13" s="38"/>
      <c r="AC13" s="6"/>
      <c r="AH13" s="120" t="s">
        <v>79</v>
      </c>
      <c r="AI13" s="120"/>
      <c r="AJ13" s="120"/>
      <c r="AK13" s="120"/>
      <c r="AL13" s="120"/>
      <c r="AM13" s="120"/>
    </row>
    <row r="14" spans="1:39" ht="17.100000000000001" customHeight="1">
      <c r="B14" s="2"/>
      <c r="C14" s="37"/>
      <c r="D14" s="33"/>
      <c r="E14" s="33"/>
      <c r="F14" s="33"/>
      <c r="G14" s="33"/>
      <c r="H14" s="33"/>
      <c r="I14" s="33"/>
      <c r="J14" s="33"/>
      <c r="K14" s="33"/>
      <c r="L14" s="33"/>
      <c r="M14" s="33"/>
      <c r="N14" s="33"/>
      <c r="O14" s="33"/>
      <c r="P14" s="33"/>
      <c r="Q14" s="33"/>
      <c r="R14" s="33"/>
      <c r="S14" s="33"/>
      <c r="T14" s="33"/>
      <c r="U14" s="33"/>
      <c r="V14" s="33"/>
      <c r="W14" s="33"/>
      <c r="X14" s="33"/>
      <c r="Y14" s="33"/>
      <c r="Z14" s="33"/>
      <c r="AA14" s="33"/>
      <c r="AB14" s="38"/>
      <c r="AC14" s="6"/>
      <c r="AF14" s="44" t="s">
        <v>64</v>
      </c>
      <c r="AG14" s="44" t="s">
        <v>65</v>
      </c>
      <c r="AH14" s="43">
        <v>15</v>
      </c>
      <c r="AI14" s="43">
        <v>20</v>
      </c>
      <c r="AJ14" s="43">
        <v>25</v>
      </c>
      <c r="AK14" s="43">
        <v>30</v>
      </c>
      <c r="AL14" s="43">
        <v>35</v>
      </c>
      <c r="AM14" s="43">
        <v>40</v>
      </c>
    </row>
    <row r="15" spans="1:39" ht="17.100000000000001" customHeight="1">
      <c r="B15" s="2"/>
      <c r="C15" s="37"/>
      <c r="D15" s="33"/>
      <c r="E15" s="33"/>
      <c r="F15" s="33"/>
      <c r="G15" s="33"/>
      <c r="H15" s="33"/>
      <c r="I15" s="33"/>
      <c r="J15" s="33"/>
      <c r="K15" s="33"/>
      <c r="L15" s="33"/>
      <c r="M15" s="33"/>
      <c r="N15" s="33"/>
      <c r="O15" s="33"/>
      <c r="P15" s="33"/>
      <c r="Q15" s="33"/>
      <c r="R15" s="33"/>
      <c r="S15" s="33"/>
      <c r="T15" s="33"/>
      <c r="U15" s="33"/>
      <c r="V15" s="33"/>
      <c r="W15" s="33"/>
      <c r="X15" s="33"/>
      <c r="Y15" s="33"/>
      <c r="Z15" s="33"/>
      <c r="AA15" s="33"/>
      <c r="AB15" s="38"/>
      <c r="AC15" s="6"/>
      <c r="AD15" s="46"/>
      <c r="AE15" s="44" t="s">
        <v>62</v>
      </c>
      <c r="AF15" s="7">
        <v>8</v>
      </c>
      <c r="AG15" s="7">
        <v>6</v>
      </c>
      <c r="AH15" s="7" t="s">
        <v>41</v>
      </c>
      <c r="AI15" s="42" t="s">
        <v>42</v>
      </c>
      <c r="AJ15" s="42" t="s">
        <v>43</v>
      </c>
      <c r="AK15" s="42" t="s">
        <v>44</v>
      </c>
      <c r="AL15" s="7" t="s">
        <v>46</v>
      </c>
      <c r="AM15" s="7" t="s">
        <v>47</v>
      </c>
    </row>
    <row r="16" spans="1:39" ht="17.100000000000001" customHeight="1">
      <c r="B16" s="2"/>
      <c r="C16" s="37"/>
      <c r="D16" s="33"/>
      <c r="E16" s="33"/>
      <c r="F16" s="33"/>
      <c r="G16" s="33"/>
      <c r="H16" s="33"/>
      <c r="I16" s="33"/>
      <c r="J16" s="33"/>
      <c r="K16" s="33"/>
      <c r="L16" s="33"/>
      <c r="M16" s="33"/>
      <c r="N16" s="33"/>
      <c r="O16" s="33"/>
      <c r="P16" s="33"/>
      <c r="Q16" s="33"/>
      <c r="R16" s="33"/>
      <c r="S16" s="33"/>
      <c r="T16" s="33"/>
      <c r="U16" s="33"/>
      <c r="V16" s="33"/>
      <c r="W16" s="33"/>
      <c r="X16" s="33"/>
      <c r="Y16" s="33"/>
      <c r="Z16" s="33"/>
      <c r="AA16" s="33"/>
      <c r="AB16" s="38"/>
      <c r="AC16" s="9"/>
      <c r="AD16" s="46"/>
      <c r="AF16" s="7">
        <v>8</v>
      </c>
      <c r="AG16" s="7">
        <v>8</v>
      </c>
      <c r="AH16" s="42" t="s">
        <v>41</v>
      </c>
      <c r="AI16" s="42" t="s">
        <v>42</v>
      </c>
      <c r="AJ16" s="42" t="s">
        <v>43</v>
      </c>
      <c r="AK16" s="42" t="s">
        <v>45</v>
      </c>
      <c r="AL16" s="7" t="s">
        <v>47</v>
      </c>
      <c r="AM16" s="7" t="s">
        <v>48</v>
      </c>
    </row>
    <row r="17" spans="2:39" ht="17.100000000000001" customHeight="1">
      <c r="B17" s="2"/>
      <c r="C17" s="37"/>
      <c r="D17" s="33"/>
      <c r="E17" s="33"/>
      <c r="F17" s="33"/>
      <c r="G17" s="33"/>
      <c r="H17" s="33"/>
      <c r="I17" s="33"/>
      <c r="J17" s="33"/>
      <c r="K17" s="33"/>
      <c r="L17" s="33"/>
      <c r="M17" s="33"/>
      <c r="N17" s="33"/>
      <c r="O17" s="33"/>
      <c r="P17" s="33"/>
      <c r="Q17" s="33"/>
      <c r="R17" s="33"/>
      <c r="S17" s="33"/>
      <c r="T17" s="33"/>
      <c r="U17" s="33"/>
      <c r="V17" s="33"/>
      <c r="W17" s="33"/>
      <c r="X17" s="33"/>
      <c r="Y17" s="33"/>
      <c r="Z17" s="33"/>
      <c r="AA17" s="33"/>
      <c r="AB17" s="38"/>
      <c r="AC17" s="9"/>
      <c r="AD17" s="46"/>
      <c r="AF17" s="7">
        <v>8</v>
      </c>
      <c r="AG17" s="7">
        <v>10</v>
      </c>
      <c r="AH17" s="42" t="s">
        <v>41</v>
      </c>
      <c r="AI17" s="42" t="s">
        <v>42</v>
      </c>
      <c r="AJ17" s="42" t="s">
        <v>43</v>
      </c>
      <c r="AK17" s="42" t="s">
        <v>45</v>
      </c>
      <c r="AL17" s="7" t="s">
        <v>47</v>
      </c>
      <c r="AM17" s="7" t="s">
        <v>48</v>
      </c>
    </row>
    <row r="18" spans="2:39" ht="17.100000000000001" customHeight="1">
      <c r="B18" s="2"/>
      <c r="C18" s="37"/>
      <c r="D18" s="33"/>
      <c r="E18" s="33"/>
      <c r="F18" s="33"/>
      <c r="G18" s="33"/>
      <c r="H18" s="33"/>
      <c r="I18" s="33"/>
      <c r="J18" s="33"/>
      <c r="K18" s="33"/>
      <c r="L18" s="33"/>
      <c r="M18" s="33"/>
      <c r="N18" s="33"/>
      <c r="O18" s="33"/>
      <c r="P18" s="33"/>
      <c r="Q18" s="33"/>
      <c r="R18" s="33"/>
      <c r="S18" s="33"/>
      <c r="T18" s="33"/>
      <c r="U18" s="33"/>
      <c r="V18" s="33"/>
      <c r="W18" s="33"/>
      <c r="X18" s="33"/>
      <c r="Y18" s="33"/>
      <c r="Z18" s="33"/>
      <c r="AA18" s="33"/>
      <c r="AB18" s="38"/>
      <c r="AC18" s="9"/>
      <c r="AD18" s="46"/>
      <c r="AF18" s="7">
        <v>8</v>
      </c>
      <c r="AG18" s="7">
        <v>12</v>
      </c>
      <c r="AH18" s="42" t="s">
        <v>80</v>
      </c>
      <c r="AI18" s="42" t="s">
        <v>42</v>
      </c>
      <c r="AJ18" s="42" t="s">
        <v>43</v>
      </c>
      <c r="AK18" s="7" t="s">
        <v>45</v>
      </c>
      <c r="AL18" s="7" t="s">
        <v>47</v>
      </c>
      <c r="AM18" s="7" t="s">
        <v>48</v>
      </c>
    </row>
    <row r="19" spans="2:39" ht="17.100000000000001" customHeight="1">
      <c r="B19" s="2"/>
      <c r="C19" s="37"/>
      <c r="D19" s="33"/>
      <c r="E19" s="33"/>
      <c r="F19" s="33"/>
      <c r="G19" s="33"/>
      <c r="H19" s="33"/>
      <c r="I19" s="33"/>
      <c r="J19" s="33"/>
      <c r="K19" s="33"/>
      <c r="L19" s="33"/>
      <c r="M19" s="33"/>
      <c r="N19" s="33"/>
      <c r="O19" s="33"/>
      <c r="P19" s="33"/>
      <c r="Q19" s="33"/>
      <c r="R19" s="33"/>
      <c r="S19" s="33"/>
      <c r="T19" s="33"/>
      <c r="U19" s="33"/>
      <c r="V19" s="33"/>
      <c r="W19" s="33"/>
      <c r="X19" s="33"/>
      <c r="Y19" s="33"/>
      <c r="Z19" s="33"/>
      <c r="AA19" s="33"/>
      <c r="AB19" s="38"/>
      <c r="AC19" s="9"/>
      <c r="AD19" s="46"/>
      <c r="AF19" s="7">
        <v>10</v>
      </c>
      <c r="AG19" s="7">
        <v>6</v>
      </c>
      <c r="AH19" s="7" t="s">
        <v>59</v>
      </c>
      <c r="AI19" s="7" t="s">
        <v>42</v>
      </c>
      <c r="AJ19" s="7" t="s">
        <v>44</v>
      </c>
      <c r="AK19" s="7" t="s">
        <v>46</v>
      </c>
      <c r="AL19" s="7" t="s">
        <v>47</v>
      </c>
      <c r="AM19" s="7" t="s">
        <v>51</v>
      </c>
    </row>
    <row r="20" spans="2:39" ht="17.100000000000001" customHeight="1">
      <c r="B20" s="2"/>
      <c r="C20" s="37"/>
      <c r="D20" s="33"/>
      <c r="E20" s="33"/>
      <c r="F20" s="33"/>
      <c r="G20" s="33"/>
      <c r="H20" s="33"/>
      <c r="I20" s="33"/>
      <c r="J20" s="33"/>
      <c r="K20" s="33"/>
      <c r="L20" s="33"/>
      <c r="M20" s="33"/>
      <c r="N20" s="33"/>
      <c r="O20" s="33"/>
      <c r="P20" s="33"/>
      <c r="Q20" s="33"/>
      <c r="R20" s="33"/>
      <c r="S20" s="33"/>
      <c r="T20" s="33"/>
      <c r="U20" s="33"/>
      <c r="V20" s="33"/>
      <c r="W20" s="33"/>
      <c r="X20" s="33"/>
      <c r="Y20" s="33"/>
      <c r="Z20" s="33"/>
      <c r="AA20" s="33"/>
      <c r="AB20" s="38"/>
      <c r="AC20" s="9"/>
      <c r="AD20" s="46"/>
      <c r="AF20" s="7">
        <v>10</v>
      </c>
      <c r="AG20" s="7">
        <v>8</v>
      </c>
      <c r="AH20" s="7" t="s">
        <v>59</v>
      </c>
      <c r="AI20" s="7" t="s">
        <v>42</v>
      </c>
      <c r="AJ20" s="7" t="s">
        <v>44</v>
      </c>
      <c r="AK20" s="7" t="s">
        <v>46</v>
      </c>
      <c r="AL20" s="7" t="s">
        <v>48</v>
      </c>
      <c r="AM20" s="7" t="s">
        <v>51</v>
      </c>
    </row>
    <row r="21" spans="2:39" ht="17.100000000000001" customHeight="1">
      <c r="B21" s="2"/>
      <c r="C21" s="37"/>
      <c r="D21" s="33"/>
      <c r="E21" s="33"/>
      <c r="F21" s="33"/>
      <c r="G21" s="33"/>
      <c r="H21" s="33"/>
      <c r="I21" s="33"/>
      <c r="J21" s="33"/>
      <c r="K21" s="33"/>
      <c r="L21" s="33"/>
      <c r="M21" s="33"/>
      <c r="N21" s="33"/>
      <c r="O21" s="33"/>
      <c r="P21" s="33"/>
      <c r="Q21" s="33"/>
      <c r="R21" s="33"/>
      <c r="S21" s="33"/>
      <c r="T21" s="33"/>
      <c r="U21" s="33"/>
      <c r="V21" s="33"/>
      <c r="W21" s="33"/>
      <c r="X21" s="33"/>
      <c r="Y21" s="33"/>
      <c r="Z21" s="33"/>
      <c r="AA21" s="33"/>
      <c r="AB21" s="38"/>
      <c r="AC21" s="9"/>
      <c r="AD21" s="46"/>
      <c r="AF21" s="7">
        <v>10</v>
      </c>
      <c r="AG21" s="7">
        <v>10</v>
      </c>
      <c r="AH21" s="7" t="s">
        <v>59</v>
      </c>
      <c r="AI21" s="7" t="s">
        <v>43</v>
      </c>
      <c r="AJ21" s="7" t="s">
        <v>44</v>
      </c>
      <c r="AK21" s="7" t="s">
        <v>46</v>
      </c>
      <c r="AL21" s="7" t="s">
        <v>48</v>
      </c>
      <c r="AM21" s="7" t="s">
        <v>51</v>
      </c>
    </row>
    <row r="22" spans="2:39" ht="17.100000000000001" customHeight="1">
      <c r="B22" s="2"/>
      <c r="C22" s="37"/>
      <c r="D22" s="33"/>
      <c r="E22" s="33"/>
      <c r="F22" s="33"/>
      <c r="G22" s="33"/>
      <c r="H22" s="33"/>
      <c r="I22" s="33"/>
      <c r="J22" s="33"/>
      <c r="K22" s="33"/>
      <c r="L22" s="33"/>
      <c r="M22" s="33"/>
      <c r="N22" s="33"/>
      <c r="O22" s="33"/>
      <c r="P22" s="33"/>
      <c r="Q22" s="33"/>
      <c r="R22" s="33"/>
      <c r="S22" s="33"/>
      <c r="T22" s="33"/>
      <c r="U22" s="33"/>
      <c r="V22" s="33"/>
      <c r="W22" s="33"/>
      <c r="X22" s="33"/>
      <c r="Y22" s="33"/>
      <c r="Z22" s="33"/>
      <c r="AA22" s="33"/>
      <c r="AB22" s="38"/>
      <c r="AC22" s="9"/>
      <c r="AD22" s="46"/>
      <c r="AF22" s="7">
        <v>10</v>
      </c>
      <c r="AG22" s="7">
        <v>12</v>
      </c>
      <c r="AH22" s="42" t="s">
        <v>80</v>
      </c>
      <c r="AI22" s="7" t="s">
        <v>43</v>
      </c>
      <c r="AJ22" s="7" t="s">
        <v>44</v>
      </c>
      <c r="AK22" s="7" t="s">
        <v>47</v>
      </c>
      <c r="AL22" s="7" t="s">
        <v>48</v>
      </c>
      <c r="AM22" s="7" t="s">
        <v>52</v>
      </c>
    </row>
    <row r="23" spans="2:39" ht="17.100000000000001" customHeight="1">
      <c r="B23" s="2"/>
      <c r="C23" s="37"/>
      <c r="D23" s="33"/>
      <c r="E23" s="33"/>
      <c r="F23" s="33"/>
      <c r="G23" s="33"/>
      <c r="H23" s="33"/>
      <c r="I23" s="33"/>
      <c r="J23" s="33"/>
      <c r="K23" s="33"/>
      <c r="L23" s="33"/>
      <c r="M23" s="33"/>
      <c r="N23" s="33"/>
      <c r="O23" s="33"/>
      <c r="P23" s="33"/>
      <c r="Q23" s="33"/>
      <c r="R23" s="33"/>
      <c r="S23" s="33"/>
      <c r="T23" s="33"/>
      <c r="U23" s="33"/>
      <c r="V23" s="33"/>
      <c r="W23" s="33"/>
      <c r="X23" s="33"/>
      <c r="Y23" s="33"/>
      <c r="Z23" s="33"/>
      <c r="AA23" s="33"/>
      <c r="AB23" s="38"/>
      <c r="AC23" s="9"/>
      <c r="AD23" s="46"/>
      <c r="AF23" s="7">
        <v>12</v>
      </c>
      <c r="AG23" s="7">
        <v>6</v>
      </c>
      <c r="AH23" s="7" t="s">
        <v>63</v>
      </c>
      <c r="AI23" s="7" t="s">
        <v>43</v>
      </c>
      <c r="AJ23" s="7" t="s">
        <v>45</v>
      </c>
      <c r="AK23" s="7" t="s">
        <v>47</v>
      </c>
      <c r="AL23" s="7" t="s">
        <v>51</v>
      </c>
      <c r="AM23" s="7" t="s">
        <v>52</v>
      </c>
    </row>
    <row r="24" spans="2:39" ht="17.100000000000001" customHeight="1">
      <c r="B24" s="2"/>
      <c r="C24" s="37"/>
      <c r="D24" s="33"/>
      <c r="E24" s="33"/>
      <c r="F24" s="33"/>
      <c r="G24" s="33"/>
      <c r="H24" s="33"/>
      <c r="I24" s="33"/>
      <c r="J24" s="33"/>
      <c r="K24" s="33"/>
      <c r="L24" s="33"/>
      <c r="M24" s="33"/>
      <c r="N24" s="33"/>
      <c r="O24" s="33"/>
      <c r="P24" s="33"/>
      <c r="Q24" s="33"/>
      <c r="R24" s="33"/>
      <c r="S24" s="33"/>
      <c r="T24" s="33"/>
      <c r="U24" s="33"/>
      <c r="V24" s="33"/>
      <c r="W24" s="33"/>
      <c r="X24" s="33"/>
      <c r="Y24" s="33"/>
      <c r="Z24" s="33"/>
      <c r="AA24" s="33"/>
      <c r="AB24" s="38"/>
      <c r="AC24" s="9"/>
      <c r="AD24" s="46"/>
      <c r="AF24" s="7">
        <v>12</v>
      </c>
      <c r="AG24" s="7">
        <v>8</v>
      </c>
      <c r="AH24" s="7" t="s">
        <v>63</v>
      </c>
      <c r="AI24" s="7" t="s">
        <v>43</v>
      </c>
      <c r="AJ24" s="7" t="s">
        <v>45</v>
      </c>
      <c r="AK24" s="7" t="s">
        <v>47</v>
      </c>
      <c r="AL24" s="7" t="s">
        <v>51</v>
      </c>
      <c r="AM24" s="7" t="s">
        <v>52</v>
      </c>
    </row>
    <row r="25" spans="2:39" ht="17.100000000000001" customHeight="1">
      <c r="B25" s="2"/>
      <c r="C25" s="37"/>
      <c r="D25" s="33"/>
      <c r="E25" s="33"/>
      <c r="F25" s="33"/>
      <c r="G25" s="33"/>
      <c r="H25" s="33"/>
      <c r="I25" s="33"/>
      <c r="J25" s="33"/>
      <c r="K25" s="33"/>
      <c r="L25" s="33"/>
      <c r="M25" s="33"/>
      <c r="N25" s="33"/>
      <c r="O25" s="33"/>
      <c r="P25" s="33"/>
      <c r="Q25" s="33"/>
      <c r="R25" s="33"/>
      <c r="S25" s="33"/>
      <c r="T25" s="33"/>
      <c r="U25" s="33"/>
      <c r="V25" s="33"/>
      <c r="W25" s="33"/>
      <c r="X25" s="33"/>
      <c r="Y25" s="33"/>
      <c r="Z25" s="33"/>
      <c r="AA25" s="33"/>
      <c r="AB25" s="38"/>
      <c r="AC25" s="9"/>
      <c r="AD25" s="46"/>
      <c r="AF25" s="7">
        <v>12</v>
      </c>
      <c r="AG25" s="7">
        <v>10</v>
      </c>
      <c r="AH25" s="7" t="s">
        <v>63</v>
      </c>
      <c r="AI25" s="7" t="s">
        <v>43</v>
      </c>
      <c r="AJ25" s="7" t="s">
        <v>45</v>
      </c>
      <c r="AK25" s="7" t="s">
        <v>47</v>
      </c>
      <c r="AL25" s="7" t="s">
        <v>51</v>
      </c>
      <c r="AM25" s="7" t="s">
        <v>53</v>
      </c>
    </row>
    <row r="26" spans="2:39" ht="17.100000000000001" customHeight="1">
      <c r="B26" s="2"/>
      <c r="C26" s="37"/>
      <c r="D26" s="33"/>
      <c r="E26" s="33"/>
      <c r="F26" s="33"/>
      <c r="G26" s="33"/>
      <c r="H26" s="33"/>
      <c r="I26" s="33"/>
      <c r="J26" s="33"/>
      <c r="K26" s="33"/>
      <c r="L26" s="33"/>
      <c r="M26" s="33"/>
      <c r="N26" s="33"/>
      <c r="O26" s="33"/>
      <c r="P26" s="33"/>
      <c r="Q26" s="33"/>
      <c r="R26" s="33"/>
      <c r="S26" s="33"/>
      <c r="T26" s="33"/>
      <c r="U26" s="33"/>
      <c r="V26" s="33"/>
      <c r="W26" s="33"/>
      <c r="X26" s="33"/>
      <c r="Y26" s="33"/>
      <c r="Z26" s="33"/>
      <c r="AA26" s="33"/>
      <c r="AB26" s="38"/>
      <c r="AC26" s="9"/>
      <c r="AD26" s="46"/>
      <c r="AF26" s="7">
        <v>12</v>
      </c>
      <c r="AG26" s="7">
        <v>12</v>
      </c>
      <c r="AH26" s="42" t="s">
        <v>80</v>
      </c>
      <c r="AI26" s="7" t="s">
        <v>43</v>
      </c>
      <c r="AJ26" s="7" t="s">
        <v>45</v>
      </c>
      <c r="AK26" s="7" t="s">
        <v>47</v>
      </c>
      <c r="AL26" s="7" t="s">
        <v>51</v>
      </c>
      <c r="AM26" s="7" t="s">
        <v>53</v>
      </c>
    </row>
    <row r="27" spans="2:39" ht="17.100000000000001" customHeight="1">
      <c r="B27" s="2"/>
      <c r="C27" s="37"/>
      <c r="D27" s="33"/>
      <c r="E27" s="33"/>
      <c r="F27" s="33"/>
      <c r="G27" s="33"/>
      <c r="H27" s="33"/>
      <c r="I27" s="33"/>
      <c r="J27" s="33"/>
      <c r="K27" s="33"/>
      <c r="L27" s="33"/>
      <c r="M27" s="33"/>
      <c r="N27" s="33"/>
      <c r="O27" s="33"/>
      <c r="P27" s="33"/>
      <c r="Q27" s="33"/>
      <c r="R27" s="33"/>
      <c r="S27" s="33"/>
      <c r="T27" s="33"/>
      <c r="U27" s="33"/>
      <c r="V27" s="33"/>
      <c r="W27" s="33"/>
      <c r="X27" s="33"/>
      <c r="Y27" s="33"/>
      <c r="Z27" s="33"/>
      <c r="AA27" s="33"/>
      <c r="AB27" s="38"/>
      <c r="AC27" s="9"/>
      <c r="AD27" s="46"/>
      <c r="AF27" s="7">
        <v>14</v>
      </c>
      <c r="AG27" s="7">
        <v>6</v>
      </c>
      <c r="AH27" s="7" t="s">
        <v>42</v>
      </c>
      <c r="AI27" s="7" t="s">
        <v>44</v>
      </c>
      <c r="AJ27" s="7" t="s">
        <v>46</v>
      </c>
      <c r="AK27" s="7" t="s">
        <v>48</v>
      </c>
      <c r="AL27" s="7" t="s">
        <v>51</v>
      </c>
      <c r="AM27" s="7" t="s">
        <v>53</v>
      </c>
    </row>
    <row r="28" spans="2:39" ht="17.100000000000001" customHeight="1">
      <c r="B28" s="2"/>
      <c r="C28" s="39"/>
      <c r="D28" s="40"/>
      <c r="E28" s="40"/>
      <c r="F28" s="40"/>
      <c r="G28" s="40"/>
      <c r="H28" s="40"/>
      <c r="I28" s="40"/>
      <c r="J28" s="40"/>
      <c r="K28" s="40"/>
      <c r="L28" s="40"/>
      <c r="M28" s="40"/>
      <c r="N28" s="40"/>
      <c r="O28" s="40"/>
      <c r="P28" s="40"/>
      <c r="Q28" s="40"/>
      <c r="R28" s="40"/>
      <c r="S28" s="40"/>
      <c r="T28" s="40"/>
      <c r="U28" s="40"/>
      <c r="V28" s="40"/>
      <c r="W28" s="40"/>
      <c r="X28" s="40"/>
      <c r="Y28" s="40"/>
      <c r="Z28" s="40"/>
      <c r="AA28" s="40"/>
      <c r="AB28" s="41"/>
      <c r="AC28" s="9"/>
      <c r="AD28" s="46"/>
      <c r="AF28" s="7">
        <v>14</v>
      </c>
      <c r="AG28" s="7">
        <v>8</v>
      </c>
      <c r="AH28" s="7" t="s">
        <v>42</v>
      </c>
      <c r="AI28" s="7" t="s">
        <v>44</v>
      </c>
      <c r="AJ28" s="7" t="s">
        <v>46</v>
      </c>
      <c r="AK28" s="7" t="s">
        <v>48</v>
      </c>
      <c r="AL28" s="7" t="s">
        <v>52</v>
      </c>
      <c r="AM28" s="7" t="s">
        <v>53</v>
      </c>
    </row>
    <row r="29" spans="2:39" ht="17.100000000000001" customHeight="1">
      <c r="B29" s="2"/>
      <c r="C29" s="4"/>
      <c r="D29" s="4"/>
      <c r="E29" s="4"/>
      <c r="F29" s="4"/>
      <c r="G29" s="4"/>
      <c r="H29" s="4"/>
      <c r="I29" s="4"/>
      <c r="J29" s="4"/>
      <c r="K29" s="4"/>
      <c r="L29" s="4"/>
      <c r="M29" s="4"/>
      <c r="N29" s="4"/>
      <c r="O29" s="4"/>
      <c r="P29" s="4"/>
      <c r="Q29" s="4"/>
      <c r="R29" s="4"/>
      <c r="S29" s="4"/>
      <c r="T29" s="4"/>
      <c r="U29" s="4"/>
      <c r="V29" s="4"/>
      <c r="W29" s="4"/>
      <c r="X29" s="4"/>
      <c r="Y29" s="4"/>
      <c r="Z29" s="4"/>
      <c r="AA29" s="4"/>
      <c r="AB29" s="4"/>
      <c r="AC29" s="9"/>
      <c r="AD29" s="46"/>
      <c r="AF29" s="7">
        <v>14</v>
      </c>
      <c r="AG29" s="7">
        <v>10</v>
      </c>
      <c r="AH29" s="7" t="s">
        <v>42</v>
      </c>
      <c r="AI29" s="7" t="s">
        <v>44</v>
      </c>
      <c r="AJ29" s="7" t="s">
        <v>46</v>
      </c>
      <c r="AK29" s="7" t="s">
        <v>48</v>
      </c>
      <c r="AL29" s="7" t="s">
        <v>52</v>
      </c>
      <c r="AM29" s="7" t="s">
        <v>53</v>
      </c>
    </row>
    <row r="30" spans="2:39" ht="17.100000000000001" customHeight="1">
      <c r="B30" s="2"/>
      <c r="C30" s="89" t="s">
        <v>24</v>
      </c>
      <c r="D30" s="90"/>
      <c r="E30" s="90"/>
      <c r="F30" s="90"/>
      <c r="G30" s="90"/>
      <c r="H30" s="90"/>
      <c r="I30" s="90"/>
      <c r="J30" s="90"/>
      <c r="K30" s="90"/>
      <c r="L30" s="90"/>
      <c r="M30" s="90"/>
      <c r="N30" s="91"/>
      <c r="O30" s="4"/>
      <c r="P30" s="4"/>
      <c r="Q30" s="4"/>
      <c r="R30" s="4"/>
      <c r="S30" s="4"/>
      <c r="T30" s="4"/>
      <c r="U30" s="4"/>
      <c r="V30" s="4"/>
      <c r="W30" s="4"/>
      <c r="X30" s="4"/>
      <c r="Y30" s="4"/>
      <c r="Z30" s="4"/>
      <c r="AA30" s="4"/>
      <c r="AB30" s="4"/>
      <c r="AC30" s="9"/>
      <c r="AD30" s="46"/>
      <c r="AF30" s="7">
        <v>14</v>
      </c>
      <c r="AG30" s="7">
        <v>12</v>
      </c>
      <c r="AH30" s="42" t="s">
        <v>80</v>
      </c>
      <c r="AI30" s="7" t="s">
        <v>44</v>
      </c>
      <c r="AJ30" s="7" t="s">
        <v>46</v>
      </c>
      <c r="AK30" s="7" t="s">
        <v>51</v>
      </c>
      <c r="AL30" s="7" t="s">
        <v>52</v>
      </c>
      <c r="AM30" s="7" t="s">
        <v>54</v>
      </c>
    </row>
    <row r="31" spans="2:39" ht="17.100000000000001" customHeight="1">
      <c r="B31" s="2"/>
      <c r="C31" s="92" t="s">
        <v>33</v>
      </c>
      <c r="D31" s="93"/>
      <c r="E31" s="93"/>
      <c r="F31" s="93"/>
      <c r="G31" s="93"/>
      <c r="H31" s="93"/>
      <c r="I31" s="93"/>
      <c r="J31" s="93"/>
      <c r="K31" s="93"/>
      <c r="L31" s="93"/>
      <c r="M31" s="98">
        <v>12</v>
      </c>
      <c r="N31" s="99"/>
      <c r="O31" s="4"/>
      <c r="P31" s="4"/>
      <c r="Q31" s="4"/>
      <c r="R31" s="4"/>
      <c r="S31" s="4"/>
      <c r="T31" s="4"/>
      <c r="U31" s="4"/>
      <c r="V31" s="4"/>
      <c r="W31" s="4"/>
      <c r="X31" s="4"/>
      <c r="Y31" s="4"/>
      <c r="Z31" s="4"/>
      <c r="AA31" s="4"/>
      <c r="AB31" s="4"/>
      <c r="AC31" s="9"/>
      <c r="AD31" s="46"/>
      <c r="AF31" s="7">
        <v>16</v>
      </c>
      <c r="AG31" s="7">
        <v>6</v>
      </c>
      <c r="AH31" s="7" t="s">
        <v>42</v>
      </c>
      <c r="AI31" s="7" t="s">
        <v>44</v>
      </c>
      <c r="AJ31" s="7" t="s">
        <v>47</v>
      </c>
      <c r="AK31" s="7" t="s">
        <v>51</v>
      </c>
      <c r="AL31" s="7" t="s">
        <v>52</v>
      </c>
      <c r="AM31" s="7" t="s">
        <v>54</v>
      </c>
    </row>
    <row r="32" spans="2:39" ht="17.100000000000001" customHeight="1">
      <c r="B32" s="2"/>
      <c r="C32" s="94" t="s">
        <v>32</v>
      </c>
      <c r="D32" s="95"/>
      <c r="E32" s="95"/>
      <c r="F32" s="95"/>
      <c r="G32" s="95"/>
      <c r="H32" s="95"/>
      <c r="I32" s="95"/>
      <c r="J32" s="95"/>
      <c r="K32" s="95"/>
      <c r="L32" s="95"/>
      <c r="M32" s="108">
        <v>40</v>
      </c>
      <c r="N32" s="109"/>
      <c r="O32" s="4"/>
      <c r="P32" s="4"/>
      <c r="Q32" s="4"/>
      <c r="R32" s="4"/>
      <c r="S32" s="4"/>
      <c r="T32" s="4"/>
      <c r="U32" s="4"/>
      <c r="V32" s="4"/>
      <c r="W32" s="4"/>
      <c r="X32" s="4"/>
      <c r="Y32" s="4"/>
      <c r="Z32" s="4"/>
      <c r="AA32" s="4"/>
      <c r="AB32" s="4"/>
      <c r="AC32" s="9"/>
      <c r="AD32" s="46"/>
      <c r="AF32" s="7">
        <v>16</v>
      </c>
      <c r="AG32" s="7">
        <v>8</v>
      </c>
      <c r="AH32" s="7" t="s">
        <v>42</v>
      </c>
      <c r="AI32" s="7" t="s">
        <v>44</v>
      </c>
      <c r="AJ32" s="7" t="s">
        <v>47</v>
      </c>
      <c r="AK32" s="7" t="s">
        <v>51</v>
      </c>
      <c r="AL32" s="7" t="s">
        <v>53</v>
      </c>
      <c r="AM32" s="7" t="s">
        <v>54</v>
      </c>
    </row>
    <row r="33" spans="2:39" ht="17.100000000000001" customHeight="1">
      <c r="B33" s="2"/>
      <c r="C33" s="94" t="s">
        <v>34</v>
      </c>
      <c r="D33" s="95"/>
      <c r="E33" s="95"/>
      <c r="F33" s="95"/>
      <c r="G33" s="95"/>
      <c r="H33" s="95"/>
      <c r="I33" s="95"/>
      <c r="J33" s="95"/>
      <c r="K33" s="95"/>
      <c r="L33" s="95"/>
      <c r="M33" s="104">
        <v>7</v>
      </c>
      <c r="N33" s="105"/>
      <c r="O33" s="4"/>
      <c r="P33" s="4"/>
      <c r="Q33" s="4"/>
      <c r="R33" s="4"/>
      <c r="S33" s="4"/>
      <c r="T33" s="4"/>
      <c r="U33" s="4"/>
      <c r="V33" s="4"/>
      <c r="W33" s="4"/>
      <c r="X33" s="4"/>
      <c r="Y33" s="4"/>
      <c r="Z33" s="4"/>
      <c r="AA33" s="4"/>
      <c r="AB33" s="4"/>
      <c r="AC33" s="9"/>
      <c r="AD33" s="46"/>
      <c r="AF33" s="7">
        <v>16</v>
      </c>
      <c r="AG33" s="7">
        <v>10</v>
      </c>
      <c r="AH33" s="7" t="s">
        <v>42</v>
      </c>
      <c r="AI33" s="7" t="s">
        <v>44</v>
      </c>
      <c r="AJ33" s="7" t="s">
        <v>47</v>
      </c>
      <c r="AK33" s="7" t="s">
        <v>51</v>
      </c>
      <c r="AL33" s="7" t="s">
        <v>53</v>
      </c>
      <c r="AM33" s="7" t="s">
        <v>54</v>
      </c>
    </row>
    <row r="34" spans="2:39" ht="17.100000000000001" customHeight="1">
      <c r="B34" s="2"/>
      <c r="C34" s="96" t="s">
        <v>25</v>
      </c>
      <c r="D34" s="97"/>
      <c r="E34" s="97"/>
      <c r="F34" s="97"/>
      <c r="G34" s="97"/>
      <c r="H34" s="97"/>
      <c r="I34" s="97"/>
      <c r="J34" s="97"/>
      <c r="K34" s="97"/>
      <c r="L34" s="97"/>
      <c r="M34" s="106" t="s">
        <v>35</v>
      </c>
      <c r="N34" s="107"/>
      <c r="O34" s="4"/>
      <c r="P34" s="4"/>
      <c r="Q34" s="4"/>
      <c r="R34" s="4"/>
      <c r="S34" s="4"/>
      <c r="T34" s="4"/>
      <c r="U34" s="4"/>
      <c r="V34" s="4"/>
      <c r="W34" s="4"/>
      <c r="X34" s="4"/>
      <c r="Y34" s="4"/>
      <c r="Z34" s="4"/>
      <c r="AA34" s="4"/>
      <c r="AB34" s="4"/>
      <c r="AC34" s="9"/>
      <c r="AD34" s="46"/>
      <c r="AF34" s="7">
        <v>16</v>
      </c>
      <c r="AG34" s="7">
        <v>12</v>
      </c>
      <c r="AH34" s="42" t="s">
        <v>80</v>
      </c>
      <c r="AI34" s="7" t="s">
        <v>44</v>
      </c>
      <c r="AJ34" s="7" t="s">
        <v>47</v>
      </c>
      <c r="AK34" s="7" t="s">
        <v>51</v>
      </c>
      <c r="AL34" s="7" t="s">
        <v>53</v>
      </c>
      <c r="AM34" s="7" t="s">
        <v>55</v>
      </c>
    </row>
    <row r="35" spans="2:39" ht="17.100000000000001" customHeight="1">
      <c r="B35" s="2"/>
      <c r="C35" s="4"/>
      <c r="D35" s="4"/>
      <c r="E35" s="4"/>
      <c r="F35" s="4"/>
      <c r="G35" s="4"/>
      <c r="H35" s="4"/>
      <c r="I35" s="4"/>
      <c r="J35" s="4"/>
      <c r="K35" s="4"/>
      <c r="L35" s="4"/>
      <c r="M35" s="4"/>
      <c r="N35" s="4"/>
      <c r="O35" s="4"/>
      <c r="P35" s="4"/>
      <c r="Q35" s="4"/>
      <c r="R35" s="4"/>
      <c r="S35" s="4"/>
      <c r="T35" s="4"/>
      <c r="U35" s="4"/>
      <c r="V35" s="4"/>
      <c r="W35" s="4"/>
      <c r="X35" s="4"/>
      <c r="Y35" s="4"/>
      <c r="Z35" s="4"/>
      <c r="AA35" s="4"/>
      <c r="AB35" s="4"/>
      <c r="AC35" s="9"/>
      <c r="AD35" s="47"/>
      <c r="AG35" s="42"/>
    </row>
    <row r="36" spans="2:39" ht="17.100000000000001" customHeight="1">
      <c r="B36" s="2"/>
      <c r="C36" s="89" t="s">
        <v>23</v>
      </c>
      <c r="D36" s="90"/>
      <c r="E36" s="90"/>
      <c r="F36" s="90"/>
      <c r="G36" s="90"/>
      <c r="H36" s="90"/>
      <c r="I36" s="90"/>
      <c r="J36" s="90"/>
      <c r="K36" s="90"/>
      <c r="L36" s="90"/>
      <c r="M36" s="90"/>
      <c r="N36" s="91"/>
      <c r="O36" s="4"/>
      <c r="P36" s="4"/>
      <c r="Q36" s="4"/>
      <c r="R36" s="4"/>
      <c r="S36" s="4"/>
      <c r="T36" s="4"/>
      <c r="U36" s="4"/>
      <c r="V36" s="4"/>
      <c r="W36" s="4"/>
      <c r="X36" s="4"/>
      <c r="Y36" s="4"/>
      <c r="Z36" s="4"/>
      <c r="AA36" s="4"/>
      <c r="AB36" s="4"/>
      <c r="AC36" s="9"/>
      <c r="AE36" s="44" t="s">
        <v>66</v>
      </c>
      <c r="AF36" s="7">
        <v>8</v>
      </c>
      <c r="AG36" s="7">
        <v>6</v>
      </c>
      <c r="AH36" s="7" t="s">
        <v>49</v>
      </c>
      <c r="AI36" s="7" t="s">
        <v>50</v>
      </c>
      <c r="AJ36" s="7" t="s">
        <v>47</v>
      </c>
      <c r="AK36" s="7" t="s">
        <v>51</v>
      </c>
      <c r="AL36" s="7" t="s">
        <v>52</v>
      </c>
      <c r="AM36" s="7" t="s">
        <v>54</v>
      </c>
    </row>
    <row r="37" spans="2:39" ht="17.100000000000001" customHeight="1">
      <c r="B37" s="2"/>
      <c r="C37" s="92" t="s">
        <v>26</v>
      </c>
      <c r="D37" s="93"/>
      <c r="E37" s="93"/>
      <c r="F37" s="93"/>
      <c r="G37" s="93"/>
      <c r="H37" s="93"/>
      <c r="I37" s="93"/>
      <c r="J37" s="93"/>
      <c r="K37" s="102">
        <v>1.4</v>
      </c>
      <c r="L37" s="102"/>
      <c r="M37" s="100">
        <v>0.22</v>
      </c>
      <c r="N37" s="101"/>
      <c r="O37" s="4"/>
      <c r="P37" s="4"/>
      <c r="Q37" s="4"/>
      <c r="R37" s="4"/>
      <c r="S37" s="4"/>
      <c r="T37" s="4"/>
      <c r="U37" s="4"/>
      <c r="V37" s="4"/>
      <c r="W37" s="4"/>
      <c r="X37" s="4"/>
      <c r="Y37" s="4"/>
      <c r="Z37" s="4"/>
      <c r="AA37" s="4"/>
      <c r="AB37" s="4"/>
      <c r="AC37" s="9"/>
      <c r="AF37" s="7">
        <v>8</v>
      </c>
      <c r="AG37" s="7">
        <v>8</v>
      </c>
      <c r="AH37" s="7" t="s">
        <v>49</v>
      </c>
      <c r="AI37" s="7" t="s">
        <v>50</v>
      </c>
      <c r="AJ37" s="7" t="s">
        <v>47</v>
      </c>
      <c r="AK37" s="7" t="s">
        <v>51</v>
      </c>
      <c r="AL37" s="7" t="s">
        <v>53</v>
      </c>
      <c r="AM37" s="7" t="s">
        <v>54</v>
      </c>
    </row>
    <row r="38" spans="2:39" ht="17.100000000000001" customHeight="1">
      <c r="B38" s="2"/>
      <c r="C38" s="94" t="s">
        <v>27</v>
      </c>
      <c r="D38" s="95"/>
      <c r="E38" s="95"/>
      <c r="F38" s="95"/>
      <c r="G38" s="95"/>
      <c r="H38" s="95"/>
      <c r="I38" s="95"/>
      <c r="J38" s="95"/>
      <c r="K38" s="103">
        <v>1.4</v>
      </c>
      <c r="L38" s="103"/>
      <c r="M38" s="100">
        <v>7.0000000000000007E-2</v>
      </c>
      <c r="N38" s="101"/>
      <c r="O38" s="4"/>
      <c r="P38" s="4"/>
      <c r="Q38" s="4"/>
      <c r="R38" s="4"/>
      <c r="S38" s="4"/>
      <c r="T38" s="4"/>
      <c r="U38" s="4"/>
      <c r="V38" s="4"/>
      <c r="W38" s="4"/>
      <c r="X38" s="4"/>
      <c r="Y38" s="4"/>
      <c r="Z38" s="4"/>
      <c r="AA38" s="4"/>
      <c r="AB38" s="4"/>
      <c r="AC38" s="9"/>
      <c r="AF38" s="7">
        <v>8</v>
      </c>
      <c r="AG38" s="7">
        <v>10</v>
      </c>
      <c r="AH38" s="7" t="s">
        <v>49</v>
      </c>
      <c r="AI38" s="7" t="s">
        <v>45</v>
      </c>
      <c r="AJ38" s="7" t="s">
        <v>47</v>
      </c>
      <c r="AK38" s="7" t="s">
        <v>51</v>
      </c>
      <c r="AL38" s="7" t="s">
        <v>53</v>
      </c>
      <c r="AM38" s="7" t="s">
        <v>55</v>
      </c>
    </row>
    <row r="39" spans="2:39" ht="17.100000000000001" customHeight="1">
      <c r="B39" s="2"/>
      <c r="C39" s="94" t="s">
        <v>28</v>
      </c>
      <c r="D39" s="95"/>
      <c r="E39" s="95"/>
      <c r="F39" s="95"/>
      <c r="G39" s="95"/>
      <c r="H39" s="95"/>
      <c r="I39" s="95"/>
      <c r="J39" s="95"/>
      <c r="K39" s="103">
        <v>1.4</v>
      </c>
      <c r="L39" s="103"/>
      <c r="M39" s="100">
        <v>0.18</v>
      </c>
      <c r="N39" s="101"/>
      <c r="O39" s="4"/>
      <c r="P39" s="4"/>
      <c r="Q39" s="4"/>
      <c r="R39" s="4"/>
      <c r="S39" s="4"/>
      <c r="T39" s="4"/>
      <c r="U39" s="4"/>
      <c r="V39" s="4"/>
      <c r="W39" s="4"/>
      <c r="X39" s="4"/>
      <c r="Y39" s="4"/>
      <c r="Z39" s="4"/>
      <c r="AA39" s="4"/>
      <c r="AB39" s="4"/>
      <c r="AC39" s="9"/>
      <c r="AF39" s="7">
        <v>8</v>
      </c>
      <c r="AG39" s="7">
        <v>12</v>
      </c>
      <c r="AH39" s="42" t="s">
        <v>80</v>
      </c>
      <c r="AI39" s="7" t="s">
        <v>45</v>
      </c>
      <c r="AJ39" s="7" t="s">
        <v>47</v>
      </c>
      <c r="AK39" s="7" t="s">
        <v>51</v>
      </c>
      <c r="AL39" s="7" t="s">
        <v>53</v>
      </c>
      <c r="AM39" s="7" t="s">
        <v>55</v>
      </c>
    </row>
    <row r="40" spans="2:39" ht="17.100000000000001" customHeight="1">
      <c r="B40" s="2"/>
      <c r="C40" s="94" t="s">
        <v>29</v>
      </c>
      <c r="D40" s="95"/>
      <c r="E40" s="95"/>
      <c r="F40" s="95"/>
      <c r="G40" s="95"/>
      <c r="H40" s="95"/>
      <c r="I40" s="95"/>
      <c r="J40" s="95"/>
      <c r="K40" s="103">
        <v>1.4</v>
      </c>
      <c r="L40" s="103"/>
      <c r="M40" s="100">
        <v>0.15</v>
      </c>
      <c r="N40" s="101"/>
      <c r="O40" s="4"/>
      <c r="P40" s="4"/>
      <c r="Q40" s="4"/>
      <c r="R40" s="4"/>
      <c r="S40" s="4"/>
      <c r="T40" s="4"/>
      <c r="U40" s="4"/>
      <c r="V40" s="4"/>
      <c r="W40" s="4"/>
      <c r="X40" s="4"/>
      <c r="Y40" s="4"/>
      <c r="Z40" s="4"/>
      <c r="AA40" s="4"/>
      <c r="AB40" s="4"/>
      <c r="AC40" s="9"/>
      <c r="AF40" s="7">
        <v>10</v>
      </c>
      <c r="AG40" s="7">
        <v>6</v>
      </c>
      <c r="AH40" s="7" t="s">
        <v>60</v>
      </c>
      <c r="AI40" s="7" t="s">
        <v>46</v>
      </c>
      <c r="AJ40" s="7" t="s">
        <v>48</v>
      </c>
      <c r="AK40" s="7" t="s">
        <v>52</v>
      </c>
      <c r="AL40" s="7" t="s">
        <v>54</v>
      </c>
      <c r="AM40" s="7" t="s">
        <v>55</v>
      </c>
    </row>
    <row r="41" spans="2:39" ht="17.100000000000001" customHeight="1">
      <c r="B41" s="2"/>
      <c r="C41" s="94" t="s">
        <v>30</v>
      </c>
      <c r="D41" s="95"/>
      <c r="E41" s="95"/>
      <c r="F41" s="95"/>
      <c r="G41" s="95"/>
      <c r="H41" s="95"/>
      <c r="I41" s="95"/>
      <c r="J41" s="95"/>
      <c r="K41" s="103">
        <v>1.6</v>
      </c>
      <c r="L41" s="103"/>
      <c r="M41" s="100">
        <v>0.6</v>
      </c>
      <c r="N41" s="101"/>
      <c r="O41" s="4"/>
      <c r="P41" s="4"/>
      <c r="Q41" s="4"/>
      <c r="R41" s="4"/>
      <c r="S41" s="4"/>
      <c r="T41" s="4"/>
      <c r="U41" s="4"/>
      <c r="V41" s="4"/>
      <c r="W41" s="4"/>
      <c r="X41" s="4"/>
      <c r="Y41" s="4"/>
      <c r="Z41" s="4"/>
      <c r="AA41" s="4"/>
      <c r="AB41" s="4"/>
      <c r="AC41" s="9"/>
      <c r="AF41" s="7">
        <v>10</v>
      </c>
      <c r="AG41" s="7">
        <v>8</v>
      </c>
      <c r="AH41" s="7" t="s">
        <v>60</v>
      </c>
      <c r="AI41" s="7" t="s">
        <v>46</v>
      </c>
      <c r="AJ41" s="7" t="s">
        <v>51</v>
      </c>
      <c r="AK41" s="7" t="s">
        <v>52</v>
      </c>
      <c r="AL41" s="7" t="s">
        <v>54</v>
      </c>
      <c r="AM41" s="7" t="s">
        <v>55</v>
      </c>
    </row>
    <row r="42" spans="2:39" ht="17.100000000000001" customHeight="1">
      <c r="B42" s="2"/>
      <c r="C42" s="96" t="s">
        <v>31</v>
      </c>
      <c r="D42" s="97"/>
      <c r="E42" s="97"/>
      <c r="F42" s="97"/>
      <c r="G42" s="97"/>
      <c r="H42" s="97"/>
      <c r="I42" s="97"/>
      <c r="J42" s="97"/>
      <c r="K42" s="110">
        <v>1.4</v>
      </c>
      <c r="L42" s="110"/>
      <c r="M42" s="116">
        <v>0</v>
      </c>
      <c r="N42" s="117"/>
      <c r="O42" s="4"/>
      <c r="P42" s="4"/>
      <c r="Q42" s="4"/>
      <c r="R42" s="4"/>
      <c r="S42" s="4"/>
      <c r="T42" s="4"/>
      <c r="U42" s="4"/>
      <c r="V42" s="4"/>
      <c r="W42" s="4"/>
      <c r="X42" s="4"/>
      <c r="Y42" s="4"/>
      <c r="Z42" s="4"/>
      <c r="AA42" s="4"/>
      <c r="AB42" s="4"/>
      <c r="AC42" s="9"/>
      <c r="AF42" s="7">
        <v>10</v>
      </c>
      <c r="AG42" s="7">
        <v>10</v>
      </c>
      <c r="AH42" s="7" t="s">
        <v>60</v>
      </c>
      <c r="AI42" s="7" t="s">
        <v>46</v>
      </c>
      <c r="AJ42" s="7" t="s">
        <v>51</v>
      </c>
      <c r="AK42" s="7" t="s">
        <v>53</v>
      </c>
      <c r="AL42" s="7" t="s">
        <v>54</v>
      </c>
      <c r="AM42" s="7" t="s">
        <v>61</v>
      </c>
    </row>
    <row r="43" spans="2:39" ht="17.100000000000001" customHeight="1">
      <c r="B43" s="2"/>
      <c r="C43" s="92" t="s">
        <v>36</v>
      </c>
      <c r="D43" s="93"/>
      <c r="E43" s="93"/>
      <c r="F43" s="93"/>
      <c r="G43" s="93"/>
      <c r="H43" s="93"/>
      <c r="I43" s="93"/>
      <c r="J43" s="93"/>
      <c r="K43" s="93"/>
      <c r="L43" s="93"/>
      <c r="M43" s="118">
        <f>SUMPRODUCT(K37:L42,M37:N42)</f>
        <v>1.8279999999999998</v>
      </c>
      <c r="N43" s="119"/>
      <c r="O43" s="4"/>
      <c r="P43" s="4"/>
      <c r="Q43" s="4"/>
      <c r="R43" s="4"/>
      <c r="S43" s="4"/>
      <c r="T43" s="4"/>
      <c r="U43" s="4"/>
      <c r="V43" s="4"/>
      <c r="W43" s="4"/>
      <c r="X43" s="4"/>
      <c r="Y43" s="4"/>
      <c r="Z43" s="4"/>
      <c r="AA43" s="4"/>
      <c r="AB43" s="4"/>
      <c r="AC43" s="9"/>
      <c r="AF43" s="7">
        <v>10</v>
      </c>
      <c r="AG43" s="7">
        <v>12</v>
      </c>
      <c r="AH43" s="42" t="s">
        <v>80</v>
      </c>
      <c r="AI43" s="7" t="s">
        <v>46</v>
      </c>
      <c r="AJ43" s="7" t="s">
        <v>51</v>
      </c>
      <c r="AK43" s="7" t="s">
        <v>53</v>
      </c>
      <c r="AL43" s="7" t="s">
        <v>55</v>
      </c>
      <c r="AM43" s="7" t="s">
        <v>61</v>
      </c>
    </row>
    <row r="44" spans="2:39" ht="17.100000000000001" customHeight="1">
      <c r="B44" s="2"/>
      <c r="C44" s="96" t="s">
        <v>37</v>
      </c>
      <c r="D44" s="97"/>
      <c r="E44" s="97"/>
      <c r="F44" s="97"/>
      <c r="G44" s="97"/>
      <c r="H44" s="97"/>
      <c r="I44" s="97"/>
      <c r="J44" s="97"/>
      <c r="K44" s="97"/>
      <c r="L44" s="97"/>
      <c r="M44" s="123">
        <f>M33*M43</f>
        <v>12.795999999999999</v>
      </c>
      <c r="N44" s="124"/>
      <c r="O44" s="4"/>
      <c r="P44" s="4"/>
      <c r="Q44" s="4"/>
      <c r="R44" s="4"/>
      <c r="S44" s="4"/>
      <c r="T44" s="4"/>
      <c r="U44" s="4"/>
      <c r="V44" s="4"/>
      <c r="W44" s="4"/>
      <c r="X44" s="4"/>
      <c r="Y44" s="4"/>
      <c r="Z44" s="4"/>
      <c r="AA44" s="4"/>
      <c r="AB44" s="4"/>
      <c r="AC44" s="10"/>
      <c r="AF44" s="7">
        <v>12</v>
      </c>
      <c r="AG44" s="7">
        <v>6</v>
      </c>
      <c r="AH44" s="7" t="s">
        <v>67</v>
      </c>
      <c r="AI44" s="7" t="s">
        <v>47</v>
      </c>
      <c r="AJ44" s="7" t="s">
        <v>51</v>
      </c>
      <c r="AK44" s="7" t="s">
        <v>53</v>
      </c>
      <c r="AL44" s="7" t="s">
        <v>55</v>
      </c>
      <c r="AM44" s="7" t="s">
        <v>61</v>
      </c>
    </row>
    <row r="45" spans="2:39" ht="17.100000000000001" customHeight="1">
      <c r="B45" s="2"/>
      <c r="C45" s="4"/>
      <c r="D45" s="4"/>
      <c r="E45" s="4"/>
      <c r="F45" s="4"/>
      <c r="G45" s="4"/>
      <c r="H45" s="4"/>
      <c r="I45" s="4"/>
      <c r="J45" s="4"/>
      <c r="K45" s="4"/>
      <c r="L45" s="4"/>
      <c r="M45" s="4"/>
      <c r="N45" s="4"/>
      <c r="O45" s="4"/>
      <c r="P45" s="4"/>
      <c r="Q45" s="4"/>
      <c r="R45" s="4"/>
      <c r="S45" s="4"/>
      <c r="T45" s="4"/>
      <c r="U45" s="4"/>
      <c r="V45" s="4"/>
      <c r="W45" s="4"/>
      <c r="X45" s="4"/>
      <c r="Y45" s="4"/>
      <c r="Z45" s="4"/>
      <c r="AA45" s="4"/>
      <c r="AB45" s="4"/>
      <c r="AC45" s="10"/>
      <c r="AF45" s="7">
        <v>12</v>
      </c>
      <c r="AG45" s="7">
        <v>8</v>
      </c>
      <c r="AH45" s="7" t="s">
        <v>60</v>
      </c>
      <c r="AI45" s="7" t="s">
        <v>47</v>
      </c>
      <c r="AJ45" s="7" t="s">
        <v>51</v>
      </c>
      <c r="AK45" s="7" t="s">
        <v>53</v>
      </c>
      <c r="AL45" s="7" t="s">
        <v>55</v>
      </c>
      <c r="AM45" s="7" t="s">
        <v>56</v>
      </c>
    </row>
    <row r="46" spans="2:39" ht="17.100000000000001" customHeight="1">
      <c r="B46" s="2"/>
      <c r="C46" s="89" t="s">
        <v>38</v>
      </c>
      <c r="D46" s="90"/>
      <c r="E46" s="90"/>
      <c r="F46" s="90"/>
      <c r="G46" s="90"/>
      <c r="H46" s="90"/>
      <c r="I46" s="90"/>
      <c r="J46" s="90"/>
      <c r="K46" s="90"/>
      <c r="L46" s="90"/>
      <c r="M46" s="90"/>
      <c r="N46" s="91"/>
      <c r="O46" s="4"/>
      <c r="P46" s="4"/>
      <c r="Q46" s="4"/>
      <c r="R46" s="4"/>
      <c r="S46" s="4"/>
      <c r="T46" s="4"/>
      <c r="U46" s="4"/>
      <c r="V46" s="4"/>
      <c r="W46" s="4"/>
      <c r="X46" s="4"/>
      <c r="Y46" s="4"/>
      <c r="Z46" s="4"/>
      <c r="AA46" s="4"/>
      <c r="AB46" s="4"/>
      <c r="AC46" s="10"/>
      <c r="AF46" s="7">
        <v>12</v>
      </c>
      <c r="AG46" s="7">
        <v>10</v>
      </c>
      <c r="AH46" s="7" t="s">
        <v>50</v>
      </c>
      <c r="AI46" s="7" t="s">
        <v>47</v>
      </c>
      <c r="AJ46" s="7" t="s">
        <v>52</v>
      </c>
      <c r="AK46" s="7" t="s">
        <v>54</v>
      </c>
      <c r="AL46" s="7" t="s">
        <v>55</v>
      </c>
      <c r="AM46" s="7" t="s">
        <v>56</v>
      </c>
    </row>
    <row r="47" spans="2:39" ht="17.100000000000001" customHeight="1">
      <c r="B47" s="2"/>
      <c r="C47" s="92" t="s">
        <v>39</v>
      </c>
      <c r="D47" s="93"/>
      <c r="E47" s="93"/>
      <c r="F47" s="93"/>
      <c r="G47" s="93"/>
      <c r="H47" s="93"/>
      <c r="I47" s="93"/>
      <c r="J47" s="112" t="str">
        <f>IF(OR(AF3="outside the scope",AI3="outside the scope",AL3="outside the scope"),"outside the scope",INDEX(AH15:AM34,AI3+4*(AL3-1),4))</f>
        <v>533×210×82 UB</v>
      </c>
      <c r="K47" s="112"/>
      <c r="L47" s="112"/>
      <c r="M47" s="112"/>
      <c r="N47" s="113"/>
      <c r="O47" s="4"/>
      <c r="P47" s="4"/>
      <c r="Q47" s="4"/>
      <c r="R47" s="4"/>
      <c r="S47" s="4"/>
      <c r="T47" s="4"/>
      <c r="U47" s="4"/>
      <c r="V47" s="4"/>
      <c r="W47" s="4"/>
      <c r="X47" s="4"/>
      <c r="Y47" s="4"/>
      <c r="Z47" s="4"/>
      <c r="AA47" s="4"/>
      <c r="AB47" s="4"/>
      <c r="AC47" s="10"/>
      <c r="AF47" s="7">
        <v>12</v>
      </c>
      <c r="AG47" s="7">
        <v>12</v>
      </c>
      <c r="AH47" s="42" t="s">
        <v>80</v>
      </c>
      <c r="AI47" s="7" t="s">
        <v>47</v>
      </c>
      <c r="AJ47" s="7" t="s">
        <v>52</v>
      </c>
      <c r="AK47" s="7" t="s">
        <v>54</v>
      </c>
      <c r="AL47" s="7" t="s">
        <v>55</v>
      </c>
      <c r="AM47" s="7" t="s">
        <v>56</v>
      </c>
    </row>
    <row r="48" spans="2:39" ht="17.100000000000001" customHeight="1">
      <c r="B48" s="2"/>
      <c r="C48" s="94" t="s">
        <v>40</v>
      </c>
      <c r="D48" s="95"/>
      <c r="E48" s="95"/>
      <c r="F48" s="95"/>
      <c r="G48" s="95"/>
      <c r="H48" s="95"/>
      <c r="I48" s="95"/>
      <c r="J48" s="114" t="str">
        <f>IF(OR(AF3="outside the scope",AI3="outside the scope",AL3="outside the scope"),"outside the scope",IF(M34="Yes",INDEX(AH36:AM55,AI3+4*(AL3-1),4),INDEX(AH57:AM76,AI3+4*(AL3-1),4)))</f>
        <v>686×254×125 UB</v>
      </c>
      <c r="K48" s="114"/>
      <c r="L48" s="114"/>
      <c r="M48" s="114"/>
      <c r="N48" s="115"/>
      <c r="O48" s="4"/>
      <c r="P48" s="4"/>
      <c r="Q48" s="4"/>
      <c r="R48" s="4"/>
      <c r="S48" s="4"/>
      <c r="T48" s="4"/>
      <c r="U48" s="4"/>
      <c r="V48" s="4"/>
      <c r="W48" s="4"/>
      <c r="X48" s="4"/>
      <c r="Y48" s="4"/>
      <c r="Z48" s="4"/>
      <c r="AA48" s="4"/>
      <c r="AB48" s="4"/>
      <c r="AC48" s="10"/>
      <c r="AF48" s="7">
        <v>14</v>
      </c>
      <c r="AG48" s="7">
        <v>6</v>
      </c>
      <c r="AH48" s="7" t="s">
        <v>50</v>
      </c>
      <c r="AI48" s="7" t="s">
        <v>48</v>
      </c>
      <c r="AJ48" s="7" t="s">
        <v>52</v>
      </c>
      <c r="AK48" s="7" t="s">
        <v>54</v>
      </c>
      <c r="AL48" s="7" t="s">
        <v>61</v>
      </c>
      <c r="AM48" s="7" t="s">
        <v>56</v>
      </c>
    </row>
    <row r="49" spans="2:39" ht="17.100000000000001" customHeight="1">
      <c r="B49" s="2"/>
      <c r="C49" s="96" t="s">
        <v>81</v>
      </c>
      <c r="D49" s="97"/>
      <c r="E49" s="97"/>
      <c r="F49" s="97"/>
      <c r="G49" s="97"/>
      <c r="H49" s="97"/>
      <c r="I49" s="97"/>
      <c r="J49" s="121" t="str">
        <f>IF(J47="outside the scope","outside the scope",INDEX(AG78:AG86,MATCH(LEFT(J47,7),AF78:AF86,0)))</f>
        <v>610×229×101 UB</v>
      </c>
      <c r="K49" s="121"/>
      <c r="L49" s="121"/>
      <c r="M49" s="121"/>
      <c r="N49" s="122"/>
      <c r="O49" s="4"/>
      <c r="P49" s="4"/>
      <c r="Q49" s="4"/>
      <c r="R49" s="4"/>
      <c r="S49" s="4"/>
      <c r="T49" s="4"/>
      <c r="U49" s="4"/>
      <c r="V49" s="4"/>
      <c r="W49" s="4"/>
      <c r="X49" s="4"/>
      <c r="Y49" s="4"/>
      <c r="Z49" s="4"/>
      <c r="AA49" s="4"/>
      <c r="AB49" s="4"/>
      <c r="AC49" s="10"/>
      <c r="AF49" s="7">
        <v>14</v>
      </c>
      <c r="AG49" s="7">
        <v>8</v>
      </c>
      <c r="AH49" s="7" t="s">
        <v>45</v>
      </c>
      <c r="AI49" s="7" t="s">
        <v>48</v>
      </c>
      <c r="AJ49" s="7" t="s">
        <v>52</v>
      </c>
      <c r="AK49" s="7" t="s">
        <v>54</v>
      </c>
      <c r="AL49" s="7" t="s">
        <v>61</v>
      </c>
      <c r="AM49" s="7" t="s">
        <v>57</v>
      </c>
    </row>
    <row r="50" spans="2:39" ht="17.100000000000001" customHeight="1">
      <c r="B50" s="2"/>
      <c r="C50" s="4"/>
      <c r="D50" s="4"/>
      <c r="E50" s="4"/>
      <c r="F50" s="4"/>
      <c r="G50" s="4"/>
      <c r="H50" s="4"/>
      <c r="I50" s="4"/>
      <c r="J50" s="4"/>
      <c r="K50" s="4"/>
      <c r="L50" s="4"/>
      <c r="M50" s="4"/>
      <c r="N50" s="4"/>
      <c r="O50" s="4"/>
      <c r="P50" s="4"/>
      <c r="Q50" s="4"/>
      <c r="R50" s="4"/>
      <c r="S50" s="4"/>
      <c r="T50" s="4"/>
      <c r="U50" s="4"/>
      <c r="V50" s="4"/>
      <c r="W50" s="4"/>
      <c r="X50" s="4"/>
      <c r="Y50" s="4"/>
      <c r="Z50" s="4"/>
      <c r="AA50" s="4"/>
      <c r="AB50" s="4"/>
      <c r="AC50" s="10"/>
      <c r="AF50" s="7">
        <v>14</v>
      </c>
      <c r="AG50" s="7">
        <v>10</v>
      </c>
      <c r="AH50" s="7" t="s">
        <v>45</v>
      </c>
      <c r="AI50" s="7" t="s">
        <v>48</v>
      </c>
      <c r="AJ50" s="7" t="s">
        <v>53</v>
      </c>
      <c r="AK50" s="7" t="s">
        <v>55</v>
      </c>
      <c r="AL50" s="7" t="s">
        <v>61</v>
      </c>
      <c r="AM50" s="7" t="s">
        <v>57</v>
      </c>
    </row>
    <row r="51" spans="2:39" ht="17.100000000000001" customHeight="1">
      <c r="B51" s="2"/>
      <c r="C51" s="4"/>
      <c r="D51" s="4"/>
      <c r="E51" s="4"/>
      <c r="F51" s="4"/>
      <c r="G51" s="4"/>
      <c r="H51" s="4"/>
      <c r="I51" s="4"/>
      <c r="J51" s="4"/>
      <c r="K51" s="4"/>
      <c r="L51" s="4"/>
      <c r="M51" s="4"/>
      <c r="N51" s="4"/>
      <c r="O51" s="4"/>
      <c r="P51" s="4"/>
      <c r="Q51" s="4"/>
      <c r="R51" s="4"/>
      <c r="S51" s="4"/>
      <c r="T51" s="4"/>
      <c r="U51" s="4"/>
      <c r="V51" s="4"/>
      <c r="W51" s="4"/>
      <c r="X51" s="4"/>
      <c r="Y51" s="4"/>
      <c r="Z51" s="4"/>
      <c r="AA51" s="4"/>
      <c r="AB51" s="4"/>
      <c r="AC51" s="10"/>
      <c r="AF51" s="7">
        <v>14</v>
      </c>
      <c r="AG51" s="7">
        <v>12</v>
      </c>
      <c r="AH51" s="42" t="s">
        <v>80</v>
      </c>
      <c r="AI51" s="7" t="s">
        <v>48</v>
      </c>
      <c r="AJ51" s="7" t="s">
        <v>53</v>
      </c>
      <c r="AK51" s="7" t="s">
        <v>55</v>
      </c>
      <c r="AL51" s="7" t="s">
        <v>56</v>
      </c>
      <c r="AM51" s="7" t="s">
        <v>57</v>
      </c>
    </row>
    <row r="52" spans="2:39" ht="17.100000000000001" customHeight="1">
      <c r="B52" s="2"/>
      <c r="C52" s="48" t="s">
        <v>22</v>
      </c>
      <c r="D52" s="49"/>
      <c r="E52" s="49"/>
      <c r="F52" s="49"/>
      <c r="G52" s="49"/>
      <c r="H52" s="49"/>
      <c r="I52" s="49"/>
      <c r="J52" s="49"/>
      <c r="K52" s="49"/>
      <c r="L52" s="49"/>
      <c r="M52" s="49"/>
      <c r="N52" s="49"/>
      <c r="O52" s="49"/>
      <c r="P52" s="49"/>
      <c r="Q52" s="49"/>
      <c r="R52" s="49"/>
      <c r="S52" s="49"/>
      <c r="T52" s="49"/>
      <c r="U52" s="49"/>
      <c r="V52" s="49"/>
      <c r="W52" s="49"/>
      <c r="X52" s="49"/>
      <c r="Y52" s="49"/>
      <c r="Z52" s="49"/>
      <c r="AA52" s="49"/>
      <c r="AB52" s="49"/>
      <c r="AC52" s="10"/>
      <c r="AD52" s="11"/>
      <c r="AF52" s="7">
        <v>16</v>
      </c>
      <c r="AG52" s="7">
        <v>6</v>
      </c>
      <c r="AH52" s="7" t="s">
        <v>45</v>
      </c>
      <c r="AI52" s="7" t="s">
        <v>51</v>
      </c>
      <c r="AJ52" s="7" t="s">
        <v>53</v>
      </c>
      <c r="AK52" s="7" t="s">
        <v>55</v>
      </c>
      <c r="AL52" s="7" t="s">
        <v>56</v>
      </c>
      <c r="AM52" s="7" t="s">
        <v>57</v>
      </c>
    </row>
    <row r="53" spans="2:39" ht="17.100000000000001" customHeight="1">
      <c r="B53" s="2"/>
      <c r="C53" s="111" t="s">
        <v>98</v>
      </c>
      <c r="D53" s="111"/>
      <c r="E53" s="111"/>
      <c r="F53" s="111"/>
      <c r="G53" s="111"/>
      <c r="H53" s="111"/>
      <c r="I53" s="111"/>
      <c r="J53" s="111"/>
      <c r="K53" s="111"/>
      <c r="L53" s="111"/>
      <c r="M53" s="111"/>
      <c r="N53" s="111"/>
      <c r="O53" s="111"/>
      <c r="P53" s="111"/>
      <c r="Q53" s="111"/>
      <c r="R53" s="111"/>
      <c r="S53" s="111"/>
      <c r="T53" s="111"/>
      <c r="U53" s="111"/>
      <c r="V53" s="111"/>
      <c r="W53" s="111"/>
      <c r="X53" s="111"/>
      <c r="Y53" s="111"/>
      <c r="Z53" s="111"/>
      <c r="AA53" s="111"/>
      <c r="AB53" s="111"/>
      <c r="AC53" s="10"/>
      <c r="AD53" s="11"/>
      <c r="AF53" s="7">
        <v>16</v>
      </c>
      <c r="AG53" s="7">
        <v>8</v>
      </c>
      <c r="AH53" s="7" t="s">
        <v>45</v>
      </c>
      <c r="AI53" s="7" t="s">
        <v>51</v>
      </c>
      <c r="AJ53" s="7" t="s">
        <v>53</v>
      </c>
      <c r="AK53" s="7" t="s">
        <v>55</v>
      </c>
      <c r="AL53" s="7" t="s">
        <v>56</v>
      </c>
      <c r="AM53" s="7" t="s">
        <v>68</v>
      </c>
    </row>
    <row r="54" spans="2:39" ht="17.100000000000001" customHeight="1">
      <c r="B54" s="2"/>
      <c r="C54" s="111"/>
      <c r="D54" s="111"/>
      <c r="E54" s="111"/>
      <c r="F54" s="111"/>
      <c r="G54" s="111"/>
      <c r="H54" s="111"/>
      <c r="I54" s="111"/>
      <c r="J54" s="111"/>
      <c r="K54" s="111"/>
      <c r="L54" s="111"/>
      <c r="M54" s="111"/>
      <c r="N54" s="111"/>
      <c r="O54" s="111"/>
      <c r="P54" s="111"/>
      <c r="Q54" s="111"/>
      <c r="R54" s="111"/>
      <c r="S54" s="111"/>
      <c r="T54" s="111"/>
      <c r="U54" s="111"/>
      <c r="V54" s="111"/>
      <c r="W54" s="111"/>
      <c r="X54" s="111"/>
      <c r="Y54" s="111"/>
      <c r="Z54" s="111"/>
      <c r="AA54" s="111"/>
      <c r="AB54" s="111"/>
      <c r="AC54" s="10"/>
      <c r="AD54" s="11"/>
      <c r="AF54" s="7">
        <v>16</v>
      </c>
      <c r="AG54" s="7">
        <v>10</v>
      </c>
      <c r="AH54" s="7" t="s">
        <v>46</v>
      </c>
      <c r="AI54" s="7" t="s">
        <v>51</v>
      </c>
      <c r="AJ54" s="7" t="s">
        <v>53</v>
      </c>
      <c r="AK54" s="7" t="s">
        <v>55</v>
      </c>
      <c r="AL54" s="7" t="s">
        <v>57</v>
      </c>
      <c r="AM54" s="7" t="s">
        <v>68</v>
      </c>
    </row>
    <row r="55" spans="2:39" ht="17.100000000000001" customHeight="1">
      <c r="B55" s="2"/>
      <c r="C55" s="111"/>
      <c r="D55" s="111"/>
      <c r="E55" s="111"/>
      <c r="F55" s="111"/>
      <c r="G55" s="111"/>
      <c r="H55" s="111"/>
      <c r="I55" s="111"/>
      <c r="J55" s="111"/>
      <c r="K55" s="111"/>
      <c r="L55" s="111"/>
      <c r="M55" s="111"/>
      <c r="N55" s="111"/>
      <c r="O55" s="111"/>
      <c r="P55" s="111"/>
      <c r="Q55" s="111"/>
      <c r="R55" s="111"/>
      <c r="S55" s="111"/>
      <c r="T55" s="111"/>
      <c r="U55" s="111"/>
      <c r="V55" s="111"/>
      <c r="W55" s="111"/>
      <c r="X55" s="111"/>
      <c r="Y55" s="111"/>
      <c r="Z55" s="111"/>
      <c r="AA55" s="111"/>
      <c r="AB55" s="111"/>
      <c r="AC55" s="10"/>
      <c r="AD55" s="11"/>
      <c r="AF55" s="7">
        <v>16</v>
      </c>
      <c r="AG55" s="7">
        <v>12</v>
      </c>
      <c r="AH55" s="42" t="s">
        <v>80</v>
      </c>
      <c r="AI55" s="7" t="s">
        <v>51</v>
      </c>
      <c r="AJ55" s="7" t="s">
        <v>53</v>
      </c>
      <c r="AK55" s="7" t="s">
        <v>55</v>
      </c>
      <c r="AL55" s="7" t="s">
        <v>57</v>
      </c>
      <c r="AM55" s="7" t="s">
        <v>58</v>
      </c>
    </row>
    <row r="56" spans="2:39" ht="17.100000000000001" customHeight="1">
      <c r="B56" s="2"/>
      <c r="C56" s="111"/>
      <c r="D56" s="111"/>
      <c r="E56" s="111"/>
      <c r="F56" s="111"/>
      <c r="G56" s="111"/>
      <c r="H56" s="111"/>
      <c r="I56" s="111"/>
      <c r="J56" s="111"/>
      <c r="K56" s="111"/>
      <c r="L56" s="111"/>
      <c r="M56" s="111"/>
      <c r="N56" s="111"/>
      <c r="O56" s="111"/>
      <c r="P56" s="111"/>
      <c r="Q56" s="111"/>
      <c r="R56" s="111"/>
      <c r="S56" s="111"/>
      <c r="T56" s="111"/>
      <c r="U56" s="111"/>
      <c r="V56" s="111"/>
      <c r="W56" s="111"/>
      <c r="X56" s="111"/>
      <c r="Y56" s="111"/>
      <c r="Z56" s="111"/>
      <c r="AA56" s="111"/>
      <c r="AB56" s="111"/>
      <c r="AC56" s="6"/>
      <c r="AD56" s="11"/>
    </row>
    <row r="57" spans="2:39" ht="17.100000000000001" customHeight="1">
      <c r="B57" s="2"/>
      <c r="C57" s="111"/>
      <c r="D57" s="111"/>
      <c r="E57" s="111"/>
      <c r="F57" s="111"/>
      <c r="G57" s="111"/>
      <c r="H57" s="111"/>
      <c r="I57" s="111"/>
      <c r="J57" s="111"/>
      <c r="K57" s="111"/>
      <c r="L57" s="111"/>
      <c r="M57" s="111"/>
      <c r="N57" s="111"/>
      <c r="O57" s="111"/>
      <c r="P57" s="111"/>
      <c r="Q57" s="111"/>
      <c r="R57" s="111"/>
      <c r="S57" s="111"/>
      <c r="T57" s="111"/>
      <c r="U57" s="111"/>
      <c r="V57" s="111"/>
      <c r="W57" s="111"/>
      <c r="X57" s="111"/>
      <c r="Y57" s="111"/>
      <c r="Z57" s="111"/>
      <c r="AA57" s="111"/>
      <c r="AB57" s="111"/>
      <c r="AC57" s="6"/>
      <c r="AD57" s="11"/>
      <c r="AE57" s="44" t="s">
        <v>69</v>
      </c>
      <c r="AF57" s="7">
        <v>8</v>
      </c>
      <c r="AG57" s="7">
        <v>6</v>
      </c>
      <c r="AH57" s="7" t="s">
        <v>50</v>
      </c>
      <c r="AI57" s="7" t="s">
        <v>47</v>
      </c>
      <c r="AJ57" s="7" t="s">
        <v>51</v>
      </c>
      <c r="AK57" s="7" t="s">
        <v>52</v>
      </c>
      <c r="AL57" s="7" t="s">
        <v>54</v>
      </c>
      <c r="AM57" s="7" t="s">
        <v>55</v>
      </c>
    </row>
    <row r="58" spans="2:39" ht="17.100000000000001" customHeight="1">
      <c r="B58" s="2"/>
      <c r="C58" s="111"/>
      <c r="D58" s="111"/>
      <c r="E58" s="111"/>
      <c r="F58" s="111"/>
      <c r="G58" s="111"/>
      <c r="H58" s="111"/>
      <c r="I58" s="111"/>
      <c r="J58" s="111"/>
      <c r="K58" s="111"/>
      <c r="L58" s="111"/>
      <c r="M58" s="111"/>
      <c r="N58" s="111"/>
      <c r="O58" s="111"/>
      <c r="P58" s="111"/>
      <c r="Q58" s="111"/>
      <c r="R58" s="111"/>
      <c r="S58" s="111"/>
      <c r="T58" s="111"/>
      <c r="U58" s="111"/>
      <c r="V58" s="111"/>
      <c r="W58" s="111"/>
      <c r="X58" s="111"/>
      <c r="Y58" s="111"/>
      <c r="Z58" s="111"/>
      <c r="AA58" s="111"/>
      <c r="AB58" s="111"/>
      <c r="AC58" s="6"/>
      <c r="AD58" s="11"/>
      <c r="AF58" s="7">
        <v>8</v>
      </c>
      <c r="AG58" s="7">
        <v>8</v>
      </c>
      <c r="AH58" s="7" t="s">
        <v>46</v>
      </c>
      <c r="AI58" s="7" t="s">
        <v>51</v>
      </c>
      <c r="AJ58" s="7" t="s">
        <v>53</v>
      </c>
      <c r="AK58" s="7" t="s">
        <v>54</v>
      </c>
      <c r="AL58" s="7" t="s">
        <v>55</v>
      </c>
      <c r="AM58" s="7" t="s">
        <v>56</v>
      </c>
    </row>
    <row r="59" spans="2:39" ht="17.100000000000001" customHeight="1">
      <c r="B59" s="2"/>
      <c r="C59" s="111"/>
      <c r="D59" s="111"/>
      <c r="E59" s="111"/>
      <c r="F59" s="111"/>
      <c r="G59" s="111"/>
      <c r="H59" s="111"/>
      <c r="I59" s="111"/>
      <c r="J59" s="111"/>
      <c r="K59" s="111"/>
      <c r="L59" s="111"/>
      <c r="M59" s="111"/>
      <c r="N59" s="111"/>
      <c r="O59" s="111"/>
      <c r="P59" s="111"/>
      <c r="Q59" s="111"/>
      <c r="R59" s="111"/>
      <c r="S59" s="111"/>
      <c r="T59" s="111"/>
      <c r="U59" s="111"/>
      <c r="V59" s="111"/>
      <c r="W59" s="111"/>
      <c r="X59" s="111"/>
      <c r="Y59" s="111"/>
      <c r="Z59" s="111"/>
      <c r="AA59" s="111"/>
      <c r="AB59" s="111"/>
      <c r="AC59" s="6"/>
      <c r="AD59" s="11"/>
      <c r="AF59" s="7">
        <v>8</v>
      </c>
      <c r="AG59" s="7">
        <v>10</v>
      </c>
      <c r="AH59" s="7" t="s">
        <v>47</v>
      </c>
      <c r="AI59" s="7" t="s">
        <v>52</v>
      </c>
      <c r="AJ59" s="7" t="s">
        <v>54</v>
      </c>
      <c r="AK59" s="7" t="s">
        <v>55</v>
      </c>
      <c r="AL59" s="7" t="s">
        <v>56</v>
      </c>
      <c r="AM59" s="7" t="s">
        <v>57</v>
      </c>
    </row>
    <row r="60" spans="2:39" ht="17.100000000000001" customHeight="1">
      <c r="B60" s="2"/>
      <c r="C60" s="4"/>
      <c r="D60" s="4"/>
      <c r="E60" s="4"/>
      <c r="F60" s="4"/>
      <c r="G60" s="4"/>
      <c r="H60" s="4"/>
      <c r="I60" s="4"/>
      <c r="J60" s="4"/>
      <c r="K60" s="4"/>
      <c r="L60" s="4"/>
      <c r="M60" s="4"/>
      <c r="N60" s="4"/>
      <c r="O60" s="4"/>
      <c r="P60" s="4"/>
      <c r="Q60" s="4"/>
      <c r="R60" s="4"/>
      <c r="S60" s="4"/>
      <c r="T60" s="4"/>
      <c r="U60" s="4"/>
      <c r="V60" s="4"/>
      <c r="W60" s="4"/>
      <c r="X60" s="4"/>
      <c r="Y60" s="4"/>
      <c r="Z60" s="4"/>
      <c r="AA60" s="4"/>
      <c r="AB60" s="4"/>
      <c r="AC60" s="6"/>
      <c r="AD60" s="11"/>
      <c r="AF60" s="7">
        <v>8</v>
      </c>
      <c r="AG60" s="7">
        <v>12</v>
      </c>
      <c r="AH60" s="42" t="s">
        <v>80</v>
      </c>
      <c r="AI60" s="7" t="s">
        <v>53</v>
      </c>
      <c r="AJ60" s="7" t="s">
        <v>55</v>
      </c>
      <c r="AK60" s="7" t="s">
        <v>56</v>
      </c>
      <c r="AL60" s="7" t="s">
        <v>57</v>
      </c>
      <c r="AM60" s="7" t="s">
        <v>58</v>
      </c>
    </row>
    <row r="61" spans="2:39" ht="17.100000000000001" customHeight="1">
      <c r="B61" s="2"/>
      <c r="C61" s="4"/>
      <c r="D61" s="4"/>
      <c r="E61" s="4"/>
      <c r="F61" s="4"/>
      <c r="G61" s="4"/>
      <c r="H61" s="4"/>
      <c r="I61" s="4"/>
      <c r="J61" s="4"/>
      <c r="K61" s="4"/>
      <c r="L61" s="4"/>
      <c r="M61" s="4"/>
      <c r="N61" s="4"/>
      <c r="O61" s="4"/>
      <c r="P61" s="4"/>
      <c r="Q61" s="4"/>
      <c r="R61" s="4"/>
      <c r="S61" s="4"/>
      <c r="T61" s="4"/>
      <c r="U61" s="4"/>
      <c r="V61" s="4"/>
      <c r="W61" s="4"/>
      <c r="X61" s="4"/>
      <c r="Y61" s="4"/>
      <c r="Z61" s="4"/>
      <c r="AA61" s="4"/>
      <c r="AB61" s="4"/>
      <c r="AC61" s="6"/>
      <c r="AD61" s="11"/>
      <c r="AF61" s="7">
        <v>10</v>
      </c>
      <c r="AG61" s="7">
        <v>6</v>
      </c>
      <c r="AH61" s="7" t="s">
        <v>45</v>
      </c>
      <c r="AI61" s="7" t="s">
        <v>48</v>
      </c>
      <c r="AJ61" s="7" t="s">
        <v>52</v>
      </c>
      <c r="AK61" s="7" t="s">
        <v>53</v>
      </c>
      <c r="AL61" s="7" t="s">
        <v>55</v>
      </c>
      <c r="AM61" s="7" t="s">
        <v>55</v>
      </c>
    </row>
    <row r="62" spans="2:39" ht="17.100000000000001" customHeight="1">
      <c r="B62" s="2"/>
      <c r="C62" s="4"/>
      <c r="D62" s="4"/>
      <c r="E62" s="4"/>
      <c r="F62" s="4"/>
      <c r="G62" s="4"/>
      <c r="H62" s="4"/>
      <c r="I62" s="4"/>
      <c r="J62" s="4"/>
      <c r="K62" s="4"/>
      <c r="L62" s="4"/>
      <c r="M62" s="4"/>
      <c r="N62" s="4"/>
      <c r="O62" s="4"/>
      <c r="P62" s="4"/>
      <c r="Q62" s="4"/>
      <c r="R62" s="4"/>
      <c r="S62" s="4"/>
      <c r="T62" s="4"/>
      <c r="U62" s="4"/>
      <c r="V62" s="4"/>
      <c r="W62" s="4"/>
      <c r="X62" s="4"/>
      <c r="Y62" s="4"/>
      <c r="Z62" s="4"/>
      <c r="AA62" s="4"/>
      <c r="AB62" s="4"/>
      <c r="AC62" s="6"/>
      <c r="AD62" s="11"/>
      <c r="AF62" s="7">
        <v>10</v>
      </c>
      <c r="AG62" s="7">
        <v>8</v>
      </c>
      <c r="AH62" s="7" t="s">
        <v>47</v>
      </c>
      <c r="AI62" s="7" t="s">
        <v>52</v>
      </c>
      <c r="AJ62" s="7" t="s">
        <v>54</v>
      </c>
      <c r="AK62" s="7" t="s">
        <v>55</v>
      </c>
      <c r="AL62" s="7" t="s">
        <v>61</v>
      </c>
      <c r="AM62" s="7" t="s">
        <v>57</v>
      </c>
    </row>
    <row r="63" spans="2:39" ht="17.100000000000001" customHeight="1" thickBot="1">
      <c r="B63" s="12"/>
      <c r="C63" s="83" t="s">
        <v>11</v>
      </c>
      <c r="D63" s="83"/>
      <c r="E63" s="83"/>
      <c r="F63" s="83"/>
      <c r="G63" s="83"/>
      <c r="H63" s="83"/>
      <c r="I63" s="83"/>
      <c r="J63" s="83"/>
      <c r="K63" s="83"/>
      <c r="L63" s="83"/>
      <c r="M63" s="83"/>
      <c r="N63" s="83"/>
      <c r="O63" s="83"/>
      <c r="P63" s="86" t="s">
        <v>20</v>
      </c>
      <c r="Q63" s="86"/>
      <c r="R63" s="86"/>
      <c r="S63" s="86"/>
      <c r="T63" s="86"/>
      <c r="U63" s="86"/>
      <c r="V63" s="86"/>
      <c r="W63" s="86"/>
      <c r="X63" s="86"/>
      <c r="Y63" s="86"/>
      <c r="Z63" s="86"/>
      <c r="AA63" s="86"/>
      <c r="AB63" s="86"/>
      <c r="AC63" s="13"/>
      <c r="AF63" s="7">
        <v>10</v>
      </c>
      <c r="AG63" s="7">
        <v>10</v>
      </c>
      <c r="AH63" s="7" t="s">
        <v>48</v>
      </c>
      <c r="AI63" s="7" t="s">
        <v>53</v>
      </c>
      <c r="AJ63" s="7" t="s">
        <v>55</v>
      </c>
      <c r="AK63" s="7" t="s">
        <v>56</v>
      </c>
      <c r="AL63" s="7" t="s">
        <v>57</v>
      </c>
      <c r="AM63" s="7" t="s">
        <v>58</v>
      </c>
    </row>
    <row r="64" spans="2:39">
      <c r="AF64" s="7">
        <v>10</v>
      </c>
      <c r="AG64" s="7">
        <v>12</v>
      </c>
      <c r="AH64" s="42" t="s">
        <v>80</v>
      </c>
      <c r="AI64" s="7" t="s">
        <v>54</v>
      </c>
      <c r="AJ64" s="7" t="s">
        <v>61</v>
      </c>
      <c r="AK64" s="7" t="s">
        <v>57</v>
      </c>
      <c r="AL64" s="7" t="s">
        <v>58</v>
      </c>
      <c r="AM64" s="7" t="s">
        <v>70</v>
      </c>
    </row>
    <row r="65" spans="31:39">
      <c r="AF65" s="7">
        <v>12</v>
      </c>
      <c r="AG65" s="7">
        <v>6</v>
      </c>
      <c r="AH65" s="7" t="s">
        <v>46</v>
      </c>
      <c r="AI65" s="7" t="s">
        <v>51</v>
      </c>
      <c r="AJ65" s="7" t="s">
        <v>53</v>
      </c>
      <c r="AK65" s="7" t="s">
        <v>54</v>
      </c>
      <c r="AL65" s="7" t="s">
        <v>55</v>
      </c>
      <c r="AM65" s="7" t="s">
        <v>56</v>
      </c>
    </row>
    <row r="66" spans="31:39">
      <c r="AF66" s="7">
        <v>12</v>
      </c>
      <c r="AG66" s="7">
        <v>8</v>
      </c>
      <c r="AH66" s="7" t="s">
        <v>48</v>
      </c>
      <c r="AI66" s="7" t="s">
        <v>53</v>
      </c>
      <c r="AJ66" s="7" t="s">
        <v>54</v>
      </c>
      <c r="AK66" s="7" t="s">
        <v>61</v>
      </c>
      <c r="AL66" s="7" t="s">
        <v>57</v>
      </c>
      <c r="AM66" s="7" t="s">
        <v>68</v>
      </c>
    </row>
    <row r="67" spans="31:39">
      <c r="AF67" s="7">
        <v>12</v>
      </c>
      <c r="AG67" s="7">
        <v>10</v>
      </c>
      <c r="AH67" s="7" t="s">
        <v>51</v>
      </c>
      <c r="AI67" s="7" t="s">
        <v>54</v>
      </c>
      <c r="AJ67" s="7" t="s">
        <v>61</v>
      </c>
      <c r="AK67" s="7" t="s">
        <v>57</v>
      </c>
      <c r="AL67" s="7" t="s">
        <v>58</v>
      </c>
      <c r="AM67" s="7" t="s">
        <v>70</v>
      </c>
    </row>
    <row r="68" spans="31:39">
      <c r="AF68" s="7">
        <v>12</v>
      </c>
      <c r="AG68" s="7">
        <v>12</v>
      </c>
      <c r="AH68" s="42" t="s">
        <v>80</v>
      </c>
      <c r="AI68" s="7" t="s">
        <v>55</v>
      </c>
      <c r="AJ68" s="7" t="s">
        <v>57</v>
      </c>
      <c r="AK68" s="7" t="s">
        <v>71</v>
      </c>
      <c r="AL68" s="7" t="s">
        <v>70</v>
      </c>
      <c r="AM68" s="7" t="s">
        <v>72</v>
      </c>
    </row>
    <row r="69" spans="31:39">
      <c r="AF69" s="7">
        <v>14</v>
      </c>
      <c r="AG69" s="7">
        <v>6</v>
      </c>
      <c r="AH69" s="7" t="s">
        <v>47</v>
      </c>
      <c r="AI69" s="7" t="s">
        <v>51</v>
      </c>
      <c r="AJ69" s="7" t="s">
        <v>53</v>
      </c>
      <c r="AK69" s="7" t="s">
        <v>55</v>
      </c>
      <c r="AL69" s="7" t="s">
        <v>61</v>
      </c>
      <c r="AM69" s="7" t="s">
        <v>57</v>
      </c>
    </row>
    <row r="70" spans="31:39">
      <c r="AF70" s="7">
        <v>14</v>
      </c>
      <c r="AG70" s="7">
        <v>8</v>
      </c>
      <c r="AH70" s="7" t="s">
        <v>51</v>
      </c>
      <c r="AI70" s="7" t="s">
        <v>53</v>
      </c>
      <c r="AJ70" s="7" t="s">
        <v>55</v>
      </c>
      <c r="AK70" s="7" t="s">
        <v>56</v>
      </c>
      <c r="AL70" s="7" t="s">
        <v>57</v>
      </c>
      <c r="AM70" s="7" t="s">
        <v>68</v>
      </c>
    </row>
    <row r="71" spans="31:39">
      <c r="AF71" s="7">
        <v>14</v>
      </c>
      <c r="AG71" s="7">
        <v>10</v>
      </c>
      <c r="AH71" s="7" t="s">
        <v>52</v>
      </c>
      <c r="AI71" s="7" t="s">
        <v>55</v>
      </c>
      <c r="AJ71" s="7" t="s">
        <v>56</v>
      </c>
      <c r="AK71" s="7" t="s">
        <v>57</v>
      </c>
      <c r="AL71" s="7" t="s">
        <v>58</v>
      </c>
      <c r="AM71" s="7" t="s">
        <v>70</v>
      </c>
    </row>
    <row r="72" spans="31:39">
      <c r="AF72" s="7">
        <v>14</v>
      </c>
      <c r="AG72" s="7">
        <v>12</v>
      </c>
      <c r="AH72" s="42" t="s">
        <v>80</v>
      </c>
      <c r="AI72" s="7" t="s">
        <v>61</v>
      </c>
      <c r="AJ72" s="7" t="s">
        <v>57</v>
      </c>
      <c r="AK72" s="7" t="s">
        <v>58</v>
      </c>
      <c r="AL72" s="7" t="s">
        <v>70</v>
      </c>
      <c r="AM72" s="7" t="s">
        <v>73</v>
      </c>
    </row>
    <row r="73" spans="31:39">
      <c r="AF73" s="7">
        <v>16</v>
      </c>
      <c r="AG73" s="7">
        <v>6</v>
      </c>
      <c r="AH73" s="7" t="s">
        <v>47</v>
      </c>
      <c r="AI73" s="7" t="s">
        <v>52</v>
      </c>
      <c r="AJ73" s="7" t="s">
        <v>54</v>
      </c>
      <c r="AK73" s="7" t="s">
        <v>55</v>
      </c>
      <c r="AL73" s="7" t="s">
        <v>56</v>
      </c>
      <c r="AM73" s="7" t="s">
        <v>57</v>
      </c>
    </row>
    <row r="74" spans="31:39">
      <c r="AF74" s="7">
        <v>16</v>
      </c>
      <c r="AG74" s="7">
        <v>8</v>
      </c>
      <c r="AH74" s="7" t="s">
        <v>51</v>
      </c>
      <c r="AI74" s="7" t="s">
        <v>54</v>
      </c>
      <c r="AJ74" s="7" t="s">
        <v>61</v>
      </c>
      <c r="AK74" s="7" t="s">
        <v>57</v>
      </c>
      <c r="AL74" s="7" t="s">
        <v>68</v>
      </c>
      <c r="AM74" s="7" t="s">
        <v>74</v>
      </c>
    </row>
    <row r="75" spans="31:39">
      <c r="AF75" s="7">
        <v>16</v>
      </c>
      <c r="AG75" s="7">
        <v>10</v>
      </c>
      <c r="AH75" s="7" t="s">
        <v>53</v>
      </c>
      <c r="AI75" s="7" t="s">
        <v>55</v>
      </c>
      <c r="AJ75" s="7" t="s">
        <v>57</v>
      </c>
      <c r="AK75" s="7" t="s">
        <v>58</v>
      </c>
      <c r="AL75" s="7" t="s">
        <v>70</v>
      </c>
      <c r="AM75" s="7" t="s">
        <v>72</v>
      </c>
    </row>
    <row r="76" spans="31:39">
      <c r="AF76" s="7">
        <v>16</v>
      </c>
      <c r="AG76" s="7">
        <v>12</v>
      </c>
      <c r="AH76" s="42" t="s">
        <v>80</v>
      </c>
      <c r="AI76" s="7" t="s">
        <v>61</v>
      </c>
      <c r="AJ76" s="7" t="s">
        <v>68</v>
      </c>
      <c r="AK76" s="7" t="s">
        <v>70</v>
      </c>
      <c r="AL76" s="7" t="s">
        <v>72</v>
      </c>
      <c r="AM76" s="7" t="s">
        <v>73</v>
      </c>
    </row>
    <row r="78" spans="31:39">
      <c r="AE78" s="44" t="s">
        <v>82</v>
      </c>
      <c r="AF78" s="7" t="s">
        <v>83</v>
      </c>
      <c r="AG78" s="7" t="s">
        <v>63</v>
      </c>
    </row>
    <row r="79" spans="31:39">
      <c r="AF79" s="7" t="s">
        <v>84</v>
      </c>
      <c r="AG79" s="7" t="s">
        <v>42</v>
      </c>
    </row>
    <row r="80" spans="31:39">
      <c r="AF80" s="7" t="s">
        <v>85</v>
      </c>
      <c r="AG80" s="7" t="s">
        <v>43</v>
      </c>
    </row>
    <row r="81" spans="32:33">
      <c r="AF81" s="7" t="s">
        <v>86</v>
      </c>
      <c r="AG81" s="7" t="s">
        <v>47</v>
      </c>
    </row>
    <row r="82" spans="32:33">
      <c r="AF82" s="7" t="s">
        <v>87</v>
      </c>
      <c r="AG82" s="7" t="s">
        <v>47</v>
      </c>
    </row>
    <row r="83" spans="32:33">
      <c r="AF83" s="7" t="s">
        <v>88</v>
      </c>
      <c r="AG83" s="7" t="s">
        <v>51</v>
      </c>
    </row>
    <row r="84" spans="32:33">
      <c r="AF84" s="7" t="s">
        <v>89</v>
      </c>
      <c r="AG84" s="7" t="s">
        <v>53</v>
      </c>
    </row>
    <row r="85" spans="32:33">
      <c r="AF85" s="7" t="s">
        <v>90</v>
      </c>
      <c r="AG85" s="7" t="s">
        <v>55</v>
      </c>
    </row>
    <row r="86" spans="32:33">
      <c r="AF86" s="7" t="s">
        <v>91</v>
      </c>
      <c r="AG86" s="7" t="s">
        <v>56</v>
      </c>
    </row>
  </sheetData>
  <mergeCells count="63">
    <mergeCell ref="AH13:AM13"/>
    <mergeCell ref="C36:N36"/>
    <mergeCell ref="J49:N49"/>
    <mergeCell ref="C37:J37"/>
    <mergeCell ref="C38:J38"/>
    <mergeCell ref="C39:J39"/>
    <mergeCell ref="C40:J40"/>
    <mergeCell ref="C41:J41"/>
    <mergeCell ref="C42:J42"/>
    <mergeCell ref="C43:L43"/>
    <mergeCell ref="C44:L44"/>
    <mergeCell ref="M44:N44"/>
    <mergeCell ref="C46:N46"/>
    <mergeCell ref="M40:N40"/>
    <mergeCell ref="C47:I47"/>
    <mergeCell ref="C48:I48"/>
    <mergeCell ref="K42:L42"/>
    <mergeCell ref="C53:AB59"/>
    <mergeCell ref="J47:N47"/>
    <mergeCell ref="J48:N48"/>
    <mergeCell ref="M42:N42"/>
    <mergeCell ref="M43:N43"/>
    <mergeCell ref="C49:I49"/>
    <mergeCell ref="C10:AB10"/>
    <mergeCell ref="K37:L37"/>
    <mergeCell ref="K38:L38"/>
    <mergeCell ref="K39:L39"/>
    <mergeCell ref="M41:N41"/>
    <mergeCell ref="C33:L33"/>
    <mergeCell ref="M33:N33"/>
    <mergeCell ref="M34:N34"/>
    <mergeCell ref="K40:L40"/>
    <mergeCell ref="K41:L41"/>
    <mergeCell ref="M32:N32"/>
    <mergeCell ref="C63:O63"/>
    <mergeCell ref="C6:D6"/>
    <mergeCell ref="W6:Y6"/>
    <mergeCell ref="Z6:AC6"/>
    <mergeCell ref="P63:AB63"/>
    <mergeCell ref="E6:O6"/>
    <mergeCell ref="S6:V6"/>
    <mergeCell ref="P6:R6"/>
    <mergeCell ref="C30:N30"/>
    <mergeCell ref="C31:L31"/>
    <mergeCell ref="C32:L32"/>
    <mergeCell ref="C34:L34"/>
    <mergeCell ref="M31:N31"/>
    <mergeCell ref="M37:N37"/>
    <mergeCell ref="M38:N38"/>
    <mergeCell ref="M39:N39"/>
    <mergeCell ref="B1:P1"/>
    <mergeCell ref="Q1:AC1"/>
    <mergeCell ref="W2:AB2"/>
    <mergeCell ref="W3:Y3"/>
    <mergeCell ref="Z3:AC3"/>
    <mergeCell ref="W4:Y4"/>
    <mergeCell ref="Z4:AC4"/>
    <mergeCell ref="W5:Y5"/>
    <mergeCell ref="Z5:AC5"/>
    <mergeCell ref="E2:O5"/>
    <mergeCell ref="P2:V4"/>
    <mergeCell ref="S5:V5"/>
    <mergeCell ref="P5:R5"/>
  </mergeCells>
  <dataValidations count="3">
    <dataValidation type="list" allowBlank="1" showInputMessage="1" showErrorMessage="1" sqref="M34:N34" xr:uid="{00000000-0002-0000-0000-000000000000}">
      <formula1>"Yes, No"</formula1>
    </dataValidation>
    <dataValidation type="decimal" allowBlank="1" showInputMessage="1" showErrorMessage="1" errorTitle="Maximum value exceeded" error="Maximum span of frame is 40m" sqref="M32:N32" xr:uid="{00000000-0002-0000-0000-000001000000}">
      <formula1>0</formula1>
      <formula2>40</formula2>
    </dataValidation>
    <dataValidation type="decimal" allowBlank="1" showInputMessage="1" showErrorMessage="1" errorTitle="Maximum value exceeded" error="Maximum eaves height is 12m" sqref="M31:N31" xr:uid="{00000000-0002-0000-0000-000002000000}">
      <formula1>0</formula1>
      <formula2>12</formula2>
    </dataValidation>
  </dataValidations>
  <hyperlinks>
    <hyperlink ref="C63:O63" r:id="rId1" display="Spreadsheet provided by: www.YourSpreadsheets.co.uk" xr:uid="{00000000-0004-0000-0000-000000000000}"/>
  </hyperlinks>
  <pageMargins left="0.47244094488188981" right="0.47244094488188981" top="0.47244094488188981" bottom="0.47244094488188981" header="0" footer="0"/>
  <pageSetup paperSize="9" scale="74" orientation="portrait" r:id="rId2"/>
  <headerFooter scaleWithDoc="0"/>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6"/>
  <dimension ref="A1:S50"/>
  <sheetViews>
    <sheetView showGridLines="0" zoomScale="90" zoomScaleNormal="90" workbookViewId="0">
      <selection activeCell="V7" sqref="V7"/>
    </sheetView>
  </sheetViews>
  <sheetFormatPr defaultRowHeight="15"/>
  <cols>
    <col min="1" max="1" width="2.85546875" style="18" customWidth="1"/>
    <col min="2" max="2" width="8.5703125" style="18" customWidth="1"/>
    <col min="3" max="10" width="9.7109375" style="18" customWidth="1"/>
    <col min="11" max="11" width="8.5703125" style="18" customWidth="1"/>
    <col min="12" max="12" width="2.85546875" style="18" customWidth="1"/>
    <col min="13" max="13" width="6.85546875" style="18" customWidth="1"/>
    <col min="14" max="14" width="7.5703125" style="18" customWidth="1"/>
    <col min="15" max="19" width="9.140625" style="18" hidden="1" customWidth="1"/>
    <col min="20" max="20" width="0" style="18" hidden="1" customWidth="1"/>
    <col min="21" max="256" width="9.140625" style="18"/>
    <col min="257" max="257" width="2.85546875" style="18" customWidth="1"/>
    <col min="258" max="258" width="8.5703125" style="18" customWidth="1"/>
    <col min="259" max="266" width="9.7109375" style="18" customWidth="1"/>
    <col min="267" max="267" width="8.5703125" style="18" customWidth="1"/>
    <col min="268" max="268" width="2.85546875" style="18" customWidth="1"/>
    <col min="269" max="269" width="6.85546875" style="18" customWidth="1"/>
    <col min="270" max="270" width="7.5703125" style="18" customWidth="1"/>
    <col min="271" max="276" width="0" style="18" hidden="1" customWidth="1"/>
    <col min="277" max="512" width="9.140625" style="18"/>
    <col min="513" max="513" width="2.85546875" style="18" customWidth="1"/>
    <col min="514" max="514" width="8.5703125" style="18" customWidth="1"/>
    <col min="515" max="522" width="9.7109375" style="18" customWidth="1"/>
    <col min="523" max="523" width="8.5703125" style="18" customWidth="1"/>
    <col min="524" max="524" width="2.85546875" style="18" customWidth="1"/>
    <col min="525" max="525" width="6.85546875" style="18" customWidth="1"/>
    <col min="526" max="526" width="7.5703125" style="18" customWidth="1"/>
    <col min="527" max="532" width="0" style="18" hidden="1" customWidth="1"/>
    <col min="533" max="768" width="9.140625" style="18"/>
    <col min="769" max="769" width="2.85546875" style="18" customWidth="1"/>
    <col min="770" max="770" width="8.5703125" style="18" customWidth="1"/>
    <col min="771" max="778" width="9.7109375" style="18" customWidth="1"/>
    <col min="779" max="779" width="8.5703125" style="18" customWidth="1"/>
    <col min="780" max="780" width="2.85546875" style="18" customWidth="1"/>
    <col min="781" max="781" width="6.85546875" style="18" customWidth="1"/>
    <col min="782" max="782" width="7.5703125" style="18" customWidth="1"/>
    <col min="783" max="788" width="0" style="18" hidden="1" customWidth="1"/>
    <col min="789" max="1024" width="9.140625" style="18"/>
    <col min="1025" max="1025" width="2.85546875" style="18" customWidth="1"/>
    <col min="1026" max="1026" width="8.5703125" style="18" customWidth="1"/>
    <col min="1027" max="1034" width="9.7109375" style="18" customWidth="1"/>
    <col min="1035" max="1035" width="8.5703125" style="18" customWidth="1"/>
    <col min="1036" max="1036" width="2.85546875" style="18" customWidth="1"/>
    <col min="1037" max="1037" width="6.85546875" style="18" customWidth="1"/>
    <col min="1038" max="1038" width="7.5703125" style="18" customWidth="1"/>
    <col min="1039" max="1044" width="0" style="18" hidden="1" customWidth="1"/>
    <col min="1045" max="1280" width="9.140625" style="18"/>
    <col min="1281" max="1281" width="2.85546875" style="18" customWidth="1"/>
    <col min="1282" max="1282" width="8.5703125" style="18" customWidth="1"/>
    <col min="1283" max="1290" width="9.7109375" style="18" customWidth="1"/>
    <col min="1291" max="1291" width="8.5703125" style="18" customWidth="1"/>
    <col min="1292" max="1292" width="2.85546875" style="18" customWidth="1"/>
    <col min="1293" max="1293" width="6.85546875" style="18" customWidth="1"/>
    <col min="1294" max="1294" width="7.5703125" style="18" customWidth="1"/>
    <col min="1295" max="1300" width="0" style="18" hidden="1" customWidth="1"/>
    <col min="1301" max="1536" width="9.140625" style="18"/>
    <col min="1537" max="1537" width="2.85546875" style="18" customWidth="1"/>
    <col min="1538" max="1538" width="8.5703125" style="18" customWidth="1"/>
    <col min="1539" max="1546" width="9.7109375" style="18" customWidth="1"/>
    <col min="1547" max="1547" width="8.5703125" style="18" customWidth="1"/>
    <col min="1548" max="1548" width="2.85546875" style="18" customWidth="1"/>
    <col min="1549" max="1549" width="6.85546875" style="18" customWidth="1"/>
    <col min="1550" max="1550" width="7.5703125" style="18" customWidth="1"/>
    <col min="1551" max="1556" width="0" style="18" hidden="1" customWidth="1"/>
    <col min="1557" max="1792" width="9.140625" style="18"/>
    <col min="1793" max="1793" width="2.85546875" style="18" customWidth="1"/>
    <col min="1794" max="1794" width="8.5703125" style="18" customWidth="1"/>
    <col min="1795" max="1802" width="9.7109375" style="18" customWidth="1"/>
    <col min="1803" max="1803" width="8.5703125" style="18" customWidth="1"/>
    <col min="1804" max="1804" width="2.85546875" style="18" customWidth="1"/>
    <col min="1805" max="1805" width="6.85546875" style="18" customWidth="1"/>
    <col min="1806" max="1806" width="7.5703125" style="18" customWidth="1"/>
    <col min="1807" max="1812" width="0" style="18" hidden="1" customWidth="1"/>
    <col min="1813" max="2048" width="9.140625" style="18"/>
    <col min="2049" max="2049" width="2.85546875" style="18" customWidth="1"/>
    <col min="2050" max="2050" width="8.5703125" style="18" customWidth="1"/>
    <col min="2051" max="2058" width="9.7109375" style="18" customWidth="1"/>
    <col min="2059" max="2059" width="8.5703125" style="18" customWidth="1"/>
    <col min="2060" max="2060" width="2.85546875" style="18" customWidth="1"/>
    <col min="2061" max="2061" width="6.85546875" style="18" customWidth="1"/>
    <col min="2062" max="2062" width="7.5703125" style="18" customWidth="1"/>
    <col min="2063" max="2068" width="0" style="18" hidden="1" customWidth="1"/>
    <col min="2069" max="2304" width="9.140625" style="18"/>
    <col min="2305" max="2305" width="2.85546875" style="18" customWidth="1"/>
    <col min="2306" max="2306" width="8.5703125" style="18" customWidth="1"/>
    <col min="2307" max="2314" width="9.7109375" style="18" customWidth="1"/>
    <col min="2315" max="2315" width="8.5703125" style="18" customWidth="1"/>
    <col min="2316" max="2316" width="2.85546875" style="18" customWidth="1"/>
    <col min="2317" max="2317" width="6.85546875" style="18" customWidth="1"/>
    <col min="2318" max="2318" width="7.5703125" style="18" customWidth="1"/>
    <col min="2319" max="2324" width="0" style="18" hidden="1" customWidth="1"/>
    <col min="2325" max="2560" width="9.140625" style="18"/>
    <col min="2561" max="2561" width="2.85546875" style="18" customWidth="1"/>
    <col min="2562" max="2562" width="8.5703125" style="18" customWidth="1"/>
    <col min="2563" max="2570" width="9.7109375" style="18" customWidth="1"/>
    <col min="2571" max="2571" width="8.5703125" style="18" customWidth="1"/>
    <col min="2572" max="2572" width="2.85546875" style="18" customWidth="1"/>
    <col min="2573" max="2573" width="6.85546875" style="18" customWidth="1"/>
    <col min="2574" max="2574" width="7.5703125" style="18" customWidth="1"/>
    <col min="2575" max="2580" width="0" style="18" hidden="1" customWidth="1"/>
    <col min="2581" max="2816" width="9.140625" style="18"/>
    <col min="2817" max="2817" width="2.85546875" style="18" customWidth="1"/>
    <col min="2818" max="2818" width="8.5703125" style="18" customWidth="1"/>
    <col min="2819" max="2826" width="9.7109375" style="18" customWidth="1"/>
    <col min="2827" max="2827" width="8.5703125" style="18" customWidth="1"/>
    <col min="2828" max="2828" width="2.85546875" style="18" customWidth="1"/>
    <col min="2829" max="2829" width="6.85546875" style="18" customWidth="1"/>
    <col min="2830" max="2830" width="7.5703125" style="18" customWidth="1"/>
    <col min="2831" max="2836" width="0" style="18" hidden="1" customWidth="1"/>
    <col min="2837" max="3072" width="9.140625" style="18"/>
    <col min="3073" max="3073" width="2.85546875" style="18" customWidth="1"/>
    <col min="3074" max="3074" width="8.5703125" style="18" customWidth="1"/>
    <col min="3075" max="3082" width="9.7109375" style="18" customWidth="1"/>
    <col min="3083" max="3083" width="8.5703125" style="18" customWidth="1"/>
    <col min="3084" max="3084" width="2.85546875" style="18" customWidth="1"/>
    <col min="3085" max="3085" width="6.85546875" style="18" customWidth="1"/>
    <col min="3086" max="3086" width="7.5703125" style="18" customWidth="1"/>
    <col min="3087" max="3092" width="0" style="18" hidden="1" customWidth="1"/>
    <col min="3093" max="3328" width="9.140625" style="18"/>
    <col min="3329" max="3329" width="2.85546875" style="18" customWidth="1"/>
    <col min="3330" max="3330" width="8.5703125" style="18" customWidth="1"/>
    <col min="3331" max="3338" width="9.7109375" style="18" customWidth="1"/>
    <col min="3339" max="3339" width="8.5703125" style="18" customWidth="1"/>
    <col min="3340" max="3340" width="2.85546875" style="18" customWidth="1"/>
    <col min="3341" max="3341" width="6.85546875" style="18" customWidth="1"/>
    <col min="3342" max="3342" width="7.5703125" style="18" customWidth="1"/>
    <col min="3343" max="3348" width="0" style="18" hidden="1" customWidth="1"/>
    <col min="3349" max="3584" width="9.140625" style="18"/>
    <col min="3585" max="3585" width="2.85546875" style="18" customWidth="1"/>
    <col min="3586" max="3586" width="8.5703125" style="18" customWidth="1"/>
    <col min="3587" max="3594" width="9.7109375" style="18" customWidth="1"/>
    <col min="3595" max="3595" width="8.5703125" style="18" customWidth="1"/>
    <col min="3596" max="3596" width="2.85546875" style="18" customWidth="1"/>
    <col min="3597" max="3597" width="6.85546875" style="18" customWidth="1"/>
    <col min="3598" max="3598" width="7.5703125" style="18" customWidth="1"/>
    <col min="3599" max="3604" width="0" style="18" hidden="1" customWidth="1"/>
    <col min="3605" max="3840" width="9.140625" style="18"/>
    <col min="3841" max="3841" width="2.85546875" style="18" customWidth="1"/>
    <col min="3842" max="3842" width="8.5703125" style="18" customWidth="1"/>
    <col min="3843" max="3850" width="9.7109375" style="18" customWidth="1"/>
    <col min="3851" max="3851" width="8.5703125" style="18" customWidth="1"/>
    <col min="3852" max="3852" width="2.85546875" style="18" customWidth="1"/>
    <col min="3853" max="3853" width="6.85546875" style="18" customWidth="1"/>
    <col min="3854" max="3854" width="7.5703125" style="18" customWidth="1"/>
    <col min="3855" max="3860" width="0" style="18" hidden="1" customWidth="1"/>
    <col min="3861" max="4096" width="9.140625" style="18"/>
    <col min="4097" max="4097" width="2.85546875" style="18" customWidth="1"/>
    <col min="4098" max="4098" width="8.5703125" style="18" customWidth="1"/>
    <col min="4099" max="4106" width="9.7109375" style="18" customWidth="1"/>
    <col min="4107" max="4107" width="8.5703125" style="18" customWidth="1"/>
    <col min="4108" max="4108" width="2.85546875" style="18" customWidth="1"/>
    <col min="4109" max="4109" width="6.85546875" style="18" customWidth="1"/>
    <col min="4110" max="4110" width="7.5703125" style="18" customWidth="1"/>
    <col min="4111" max="4116" width="0" style="18" hidden="1" customWidth="1"/>
    <col min="4117" max="4352" width="9.140625" style="18"/>
    <col min="4353" max="4353" width="2.85546875" style="18" customWidth="1"/>
    <col min="4354" max="4354" width="8.5703125" style="18" customWidth="1"/>
    <col min="4355" max="4362" width="9.7109375" style="18" customWidth="1"/>
    <col min="4363" max="4363" width="8.5703125" style="18" customWidth="1"/>
    <col min="4364" max="4364" width="2.85546875" style="18" customWidth="1"/>
    <col min="4365" max="4365" width="6.85546875" style="18" customWidth="1"/>
    <col min="4366" max="4366" width="7.5703125" style="18" customWidth="1"/>
    <col min="4367" max="4372" width="0" style="18" hidden="1" customWidth="1"/>
    <col min="4373" max="4608" width="9.140625" style="18"/>
    <col min="4609" max="4609" width="2.85546875" style="18" customWidth="1"/>
    <col min="4610" max="4610" width="8.5703125" style="18" customWidth="1"/>
    <col min="4611" max="4618" width="9.7109375" style="18" customWidth="1"/>
    <col min="4619" max="4619" width="8.5703125" style="18" customWidth="1"/>
    <col min="4620" max="4620" width="2.85546875" style="18" customWidth="1"/>
    <col min="4621" max="4621" width="6.85546875" style="18" customWidth="1"/>
    <col min="4622" max="4622" width="7.5703125" style="18" customWidth="1"/>
    <col min="4623" max="4628" width="0" style="18" hidden="1" customWidth="1"/>
    <col min="4629" max="4864" width="9.140625" style="18"/>
    <col min="4865" max="4865" width="2.85546875" style="18" customWidth="1"/>
    <col min="4866" max="4866" width="8.5703125" style="18" customWidth="1"/>
    <col min="4867" max="4874" width="9.7109375" style="18" customWidth="1"/>
    <col min="4875" max="4875" width="8.5703125" style="18" customWidth="1"/>
    <col min="4876" max="4876" width="2.85546875" style="18" customWidth="1"/>
    <col min="4877" max="4877" width="6.85546875" style="18" customWidth="1"/>
    <col min="4878" max="4878" width="7.5703125" style="18" customWidth="1"/>
    <col min="4879" max="4884" width="0" style="18" hidden="1" customWidth="1"/>
    <col min="4885" max="5120" width="9.140625" style="18"/>
    <col min="5121" max="5121" width="2.85546875" style="18" customWidth="1"/>
    <col min="5122" max="5122" width="8.5703125" style="18" customWidth="1"/>
    <col min="5123" max="5130" width="9.7109375" style="18" customWidth="1"/>
    <col min="5131" max="5131" width="8.5703125" style="18" customWidth="1"/>
    <col min="5132" max="5132" width="2.85546875" style="18" customWidth="1"/>
    <col min="5133" max="5133" width="6.85546875" style="18" customWidth="1"/>
    <col min="5134" max="5134" width="7.5703125" style="18" customWidth="1"/>
    <col min="5135" max="5140" width="0" style="18" hidden="1" customWidth="1"/>
    <col min="5141" max="5376" width="9.140625" style="18"/>
    <col min="5377" max="5377" width="2.85546875" style="18" customWidth="1"/>
    <col min="5378" max="5378" width="8.5703125" style="18" customWidth="1"/>
    <col min="5379" max="5386" width="9.7109375" style="18" customWidth="1"/>
    <col min="5387" max="5387" width="8.5703125" style="18" customWidth="1"/>
    <col min="5388" max="5388" width="2.85546875" style="18" customWidth="1"/>
    <col min="5389" max="5389" width="6.85546875" style="18" customWidth="1"/>
    <col min="5390" max="5390" width="7.5703125" style="18" customWidth="1"/>
    <col min="5391" max="5396" width="0" style="18" hidden="1" customWidth="1"/>
    <col min="5397" max="5632" width="9.140625" style="18"/>
    <col min="5633" max="5633" width="2.85546875" style="18" customWidth="1"/>
    <col min="5634" max="5634" width="8.5703125" style="18" customWidth="1"/>
    <col min="5635" max="5642" width="9.7109375" style="18" customWidth="1"/>
    <col min="5643" max="5643" width="8.5703125" style="18" customWidth="1"/>
    <col min="5644" max="5644" width="2.85546875" style="18" customWidth="1"/>
    <col min="5645" max="5645" width="6.85546875" style="18" customWidth="1"/>
    <col min="5646" max="5646" width="7.5703125" style="18" customWidth="1"/>
    <col min="5647" max="5652" width="0" style="18" hidden="1" customWidth="1"/>
    <col min="5653" max="5888" width="9.140625" style="18"/>
    <col min="5889" max="5889" width="2.85546875" style="18" customWidth="1"/>
    <col min="5890" max="5890" width="8.5703125" style="18" customWidth="1"/>
    <col min="5891" max="5898" width="9.7109375" style="18" customWidth="1"/>
    <col min="5899" max="5899" width="8.5703125" style="18" customWidth="1"/>
    <col min="5900" max="5900" width="2.85546875" style="18" customWidth="1"/>
    <col min="5901" max="5901" width="6.85546875" style="18" customWidth="1"/>
    <col min="5902" max="5902" width="7.5703125" style="18" customWidth="1"/>
    <col min="5903" max="5908" width="0" style="18" hidden="1" customWidth="1"/>
    <col min="5909" max="6144" width="9.140625" style="18"/>
    <col min="6145" max="6145" width="2.85546875" style="18" customWidth="1"/>
    <col min="6146" max="6146" width="8.5703125" style="18" customWidth="1"/>
    <col min="6147" max="6154" width="9.7109375" style="18" customWidth="1"/>
    <col min="6155" max="6155" width="8.5703125" style="18" customWidth="1"/>
    <col min="6156" max="6156" width="2.85546875" style="18" customWidth="1"/>
    <col min="6157" max="6157" width="6.85546875" style="18" customWidth="1"/>
    <col min="6158" max="6158" width="7.5703125" style="18" customWidth="1"/>
    <col min="6159" max="6164" width="0" style="18" hidden="1" customWidth="1"/>
    <col min="6165" max="6400" width="9.140625" style="18"/>
    <col min="6401" max="6401" width="2.85546875" style="18" customWidth="1"/>
    <col min="6402" max="6402" width="8.5703125" style="18" customWidth="1"/>
    <col min="6403" max="6410" width="9.7109375" style="18" customWidth="1"/>
    <col min="6411" max="6411" width="8.5703125" style="18" customWidth="1"/>
    <col min="6412" max="6412" width="2.85546875" style="18" customWidth="1"/>
    <col min="6413" max="6413" width="6.85546875" style="18" customWidth="1"/>
    <col min="6414" max="6414" width="7.5703125" style="18" customWidth="1"/>
    <col min="6415" max="6420" width="0" style="18" hidden="1" customWidth="1"/>
    <col min="6421" max="6656" width="9.140625" style="18"/>
    <col min="6657" max="6657" width="2.85546875" style="18" customWidth="1"/>
    <col min="6658" max="6658" width="8.5703125" style="18" customWidth="1"/>
    <col min="6659" max="6666" width="9.7109375" style="18" customWidth="1"/>
    <col min="6667" max="6667" width="8.5703125" style="18" customWidth="1"/>
    <col min="6668" max="6668" width="2.85546875" style="18" customWidth="1"/>
    <col min="6669" max="6669" width="6.85546875" style="18" customWidth="1"/>
    <col min="6670" max="6670" width="7.5703125" style="18" customWidth="1"/>
    <col min="6671" max="6676" width="0" style="18" hidden="1" customWidth="1"/>
    <col min="6677" max="6912" width="9.140625" style="18"/>
    <col min="6913" max="6913" width="2.85546875" style="18" customWidth="1"/>
    <col min="6914" max="6914" width="8.5703125" style="18" customWidth="1"/>
    <col min="6915" max="6922" width="9.7109375" style="18" customWidth="1"/>
    <col min="6923" max="6923" width="8.5703125" style="18" customWidth="1"/>
    <col min="6924" max="6924" width="2.85546875" style="18" customWidth="1"/>
    <col min="6925" max="6925" width="6.85546875" style="18" customWidth="1"/>
    <col min="6926" max="6926" width="7.5703125" style="18" customWidth="1"/>
    <col min="6927" max="6932" width="0" style="18" hidden="1" customWidth="1"/>
    <col min="6933" max="7168" width="9.140625" style="18"/>
    <col min="7169" max="7169" width="2.85546875" style="18" customWidth="1"/>
    <col min="7170" max="7170" width="8.5703125" style="18" customWidth="1"/>
    <col min="7171" max="7178" width="9.7109375" style="18" customWidth="1"/>
    <col min="7179" max="7179" width="8.5703125" style="18" customWidth="1"/>
    <col min="7180" max="7180" width="2.85546875" style="18" customWidth="1"/>
    <col min="7181" max="7181" width="6.85546875" style="18" customWidth="1"/>
    <col min="7182" max="7182" width="7.5703125" style="18" customWidth="1"/>
    <col min="7183" max="7188" width="0" style="18" hidden="1" customWidth="1"/>
    <col min="7189" max="7424" width="9.140625" style="18"/>
    <col min="7425" max="7425" width="2.85546875" style="18" customWidth="1"/>
    <col min="7426" max="7426" width="8.5703125" style="18" customWidth="1"/>
    <col min="7427" max="7434" width="9.7109375" style="18" customWidth="1"/>
    <col min="7435" max="7435" width="8.5703125" style="18" customWidth="1"/>
    <col min="7436" max="7436" width="2.85546875" style="18" customWidth="1"/>
    <col min="7437" max="7437" width="6.85546875" style="18" customWidth="1"/>
    <col min="7438" max="7438" width="7.5703125" style="18" customWidth="1"/>
    <col min="7439" max="7444" width="0" style="18" hidden="1" customWidth="1"/>
    <col min="7445" max="7680" width="9.140625" style="18"/>
    <col min="7681" max="7681" width="2.85546875" style="18" customWidth="1"/>
    <col min="7682" max="7682" width="8.5703125" style="18" customWidth="1"/>
    <col min="7683" max="7690" width="9.7109375" style="18" customWidth="1"/>
    <col min="7691" max="7691" width="8.5703125" style="18" customWidth="1"/>
    <col min="7692" max="7692" width="2.85546875" style="18" customWidth="1"/>
    <col min="7693" max="7693" width="6.85546875" style="18" customWidth="1"/>
    <col min="7694" max="7694" width="7.5703125" style="18" customWidth="1"/>
    <col min="7695" max="7700" width="0" style="18" hidden="1" customWidth="1"/>
    <col min="7701" max="7936" width="9.140625" style="18"/>
    <col min="7937" max="7937" width="2.85546875" style="18" customWidth="1"/>
    <col min="7938" max="7938" width="8.5703125" style="18" customWidth="1"/>
    <col min="7939" max="7946" width="9.7109375" style="18" customWidth="1"/>
    <col min="7947" max="7947" width="8.5703125" style="18" customWidth="1"/>
    <col min="7948" max="7948" width="2.85546875" style="18" customWidth="1"/>
    <col min="7949" max="7949" width="6.85546875" style="18" customWidth="1"/>
    <col min="7950" max="7950" width="7.5703125" style="18" customWidth="1"/>
    <col min="7951" max="7956" width="0" style="18" hidden="1" customWidth="1"/>
    <col min="7957" max="8192" width="9.140625" style="18"/>
    <col min="8193" max="8193" width="2.85546875" style="18" customWidth="1"/>
    <col min="8194" max="8194" width="8.5703125" style="18" customWidth="1"/>
    <col min="8195" max="8202" width="9.7109375" style="18" customWidth="1"/>
    <col min="8203" max="8203" width="8.5703125" style="18" customWidth="1"/>
    <col min="8204" max="8204" width="2.85546875" style="18" customWidth="1"/>
    <col min="8205" max="8205" width="6.85546875" style="18" customWidth="1"/>
    <col min="8206" max="8206" width="7.5703125" style="18" customWidth="1"/>
    <col min="8207" max="8212" width="0" style="18" hidden="1" customWidth="1"/>
    <col min="8213" max="8448" width="9.140625" style="18"/>
    <col min="8449" max="8449" width="2.85546875" style="18" customWidth="1"/>
    <col min="8450" max="8450" width="8.5703125" style="18" customWidth="1"/>
    <col min="8451" max="8458" width="9.7109375" style="18" customWidth="1"/>
    <col min="8459" max="8459" width="8.5703125" style="18" customWidth="1"/>
    <col min="8460" max="8460" width="2.85546875" style="18" customWidth="1"/>
    <col min="8461" max="8461" width="6.85546875" style="18" customWidth="1"/>
    <col min="8462" max="8462" width="7.5703125" style="18" customWidth="1"/>
    <col min="8463" max="8468" width="0" style="18" hidden="1" customWidth="1"/>
    <col min="8469" max="8704" width="9.140625" style="18"/>
    <col min="8705" max="8705" width="2.85546875" style="18" customWidth="1"/>
    <col min="8706" max="8706" width="8.5703125" style="18" customWidth="1"/>
    <col min="8707" max="8714" width="9.7109375" style="18" customWidth="1"/>
    <col min="8715" max="8715" width="8.5703125" style="18" customWidth="1"/>
    <col min="8716" max="8716" width="2.85546875" style="18" customWidth="1"/>
    <col min="8717" max="8717" width="6.85546875" style="18" customWidth="1"/>
    <col min="8718" max="8718" width="7.5703125" style="18" customWidth="1"/>
    <col min="8719" max="8724" width="0" style="18" hidden="1" customWidth="1"/>
    <col min="8725" max="8960" width="9.140625" style="18"/>
    <col min="8961" max="8961" width="2.85546875" style="18" customWidth="1"/>
    <col min="8962" max="8962" width="8.5703125" style="18" customWidth="1"/>
    <col min="8963" max="8970" width="9.7109375" style="18" customWidth="1"/>
    <col min="8971" max="8971" width="8.5703125" style="18" customWidth="1"/>
    <col min="8972" max="8972" width="2.85546875" style="18" customWidth="1"/>
    <col min="8973" max="8973" width="6.85546875" style="18" customWidth="1"/>
    <col min="8974" max="8974" width="7.5703125" style="18" customWidth="1"/>
    <col min="8975" max="8980" width="0" style="18" hidden="1" customWidth="1"/>
    <col min="8981" max="9216" width="9.140625" style="18"/>
    <col min="9217" max="9217" width="2.85546875" style="18" customWidth="1"/>
    <col min="9218" max="9218" width="8.5703125" style="18" customWidth="1"/>
    <col min="9219" max="9226" width="9.7109375" style="18" customWidth="1"/>
    <col min="9227" max="9227" width="8.5703125" style="18" customWidth="1"/>
    <col min="9228" max="9228" width="2.85546875" style="18" customWidth="1"/>
    <col min="9229" max="9229" width="6.85546875" style="18" customWidth="1"/>
    <col min="9230" max="9230" width="7.5703125" style="18" customWidth="1"/>
    <col min="9231" max="9236" width="0" style="18" hidden="1" customWidth="1"/>
    <col min="9237" max="9472" width="9.140625" style="18"/>
    <col min="9473" max="9473" width="2.85546875" style="18" customWidth="1"/>
    <col min="9474" max="9474" width="8.5703125" style="18" customWidth="1"/>
    <col min="9475" max="9482" width="9.7109375" style="18" customWidth="1"/>
    <col min="9483" max="9483" width="8.5703125" style="18" customWidth="1"/>
    <col min="9484" max="9484" width="2.85546875" style="18" customWidth="1"/>
    <col min="9485" max="9485" width="6.85546875" style="18" customWidth="1"/>
    <col min="9486" max="9486" width="7.5703125" style="18" customWidth="1"/>
    <col min="9487" max="9492" width="0" style="18" hidden="1" customWidth="1"/>
    <col min="9493" max="9728" width="9.140625" style="18"/>
    <col min="9729" max="9729" width="2.85546875" style="18" customWidth="1"/>
    <col min="9730" max="9730" width="8.5703125" style="18" customWidth="1"/>
    <col min="9731" max="9738" width="9.7109375" style="18" customWidth="1"/>
    <col min="9739" max="9739" width="8.5703125" style="18" customWidth="1"/>
    <col min="9740" max="9740" width="2.85546875" style="18" customWidth="1"/>
    <col min="9741" max="9741" width="6.85546875" style="18" customWidth="1"/>
    <col min="9742" max="9742" width="7.5703125" style="18" customWidth="1"/>
    <col min="9743" max="9748" width="0" style="18" hidden="1" customWidth="1"/>
    <col min="9749" max="9984" width="9.140625" style="18"/>
    <col min="9985" max="9985" width="2.85546875" style="18" customWidth="1"/>
    <col min="9986" max="9986" width="8.5703125" style="18" customWidth="1"/>
    <col min="9987" max="9994" width="9.7109375" style="18" customWidth="1"/>
    <col min="9995" max="9995" width="8.5703125" style="18" customWidth="1"/>
    <col min="9996" max="9996" width="2.85546875" style="18" customWidth="1"/>
    <col min="9997" max="9997" width="6.85546875" style="18" customWidth="1"/>
    <col min="9998" max="9998" width="7.5703125" style="18" customWidth="1"/>
    <col min="9999" max="10004" width="0" style="18" hidden="1" customWidth="1"/>
    <col min="10005" max="10240" width="9.140625" style="18"/>
    <col min="10241" max="10241" width="2.85546875" style="18" customWidth="1"/>
    <col min="10242" max="10242" width="8.5703125" style="18" customWidth="1"/>
    <col min="10243" max="10250" width="9.7109375" style="18" customWidth="1"/>
    <col min="10251" max="10251" width="8.5703125" style="18" customWidth="1"/>
    <col min="10252" max="10252" width="2.85546875" style="18" customWidth="1"/>
    <col min="10253" max="10253" width="6.85546875" style="18" customWidth="1"/>
    <col min="10254" max="10254" width="7.5703125" style="18" customWidth="1"/>
    <col min="10255" max="10260" width="0" style="18" hidden="1" customWidth="1"/>
    <col min="10261" max="10496" width="9.140625" style="18"/>
    <col min="10497" max="10497" width="2.85546875" style="18" customWidth="1"/>
    <col min="10498" max="10498" width="8.5703125" style="18" customWidth="1"/>
    <col min="10499" max="10506" width="9.7109375" style="18" customWidth="1"/>
    <col min="10507" max="10507" width="8.5703125" style="18" customWidth="1"/>
    <col min="10508" max="10508" width="2.85546875" style="18" customWidth="1"/>
    <col min="10509" max="10509" width="6.85546875" style="18" customWidth="1"/>
    <col min="10510" max="10510" width="7.5703125" style="18" customWidth="1"/>
    <col min="10511" max="10516" width="0" style="18" hidden="1" customWidth="1"/>
    <col min="10517" max="10752" width="9.140625" style="18"/>
    <col min="10753" max="10753" width="2.85546875" style="18" customWidth="1"/>
    <col min="10754" max="10754" width="8.5703125" style="18" customWidth="1"/>
    <col min="10755" max="10762" width="9.7109375" style="18" customWidth="1"/>
    <col min="10763" max="10763" width="8.5703125" style="18" customWidth="1"/>
    <col min="10764" max="10764" width="2.85546875" style="18" customWidth="1"/>
    <col min="10765" max="10765" width="6.85546875" style="18" customWidth="1"/>
    <col min="10766" max="10766" width="7.5703125" style="18" customWidth="1"/>
    <col min="10767" max="10772" width="0" style="18" hidden="1" customWidth="1"/>
    <col min="10773" max="11008" width="9.140625" style="18"/>
    <col min="11009" max="11009" width="2.85546875" style="18" customWidth="1"/>
    <col min="11010" max="11010" width="8.5703125" style="18" customWidth="1"/>
    <col min="11011" max="11018" width="9.7109375" style="18" customWidth="1"/>
    <col min="11019" max="11019" width="8.5703125" style="18" customWidth="1"/>
    <col min="11020" max="11020" width="2.85546875" style="18" customWidth="1"/>
    <col min="11021" max="11021" width="6.85546875" style="18" customWidth="1"/>
    <col min="11022" max="11022" width="7.5703125" style="18" customWidth="1"/>
    <col min="11023" max="11028" width="0" style="18" hidden="1" customWidth="1"/>
    <col min="11029" max="11264" width="9.140625" style="18"/>
    <col min="11265" max="11265" width="2.85546875" style="18" customWidth="1"/>
    <col min="11266" max="11266" width="8.5703125" style="18" customWidth="1"/>
    <col min="11267" max="11274" width="9.7109375" style="18" customWidth="1"/>
    <col min="11275" max="11275" width="8.5703125" style="18" customWidth="1"/>
    <col min="11276" max="11276" width="2.85546875" style="18" customWidth="1"/>
    <col min="11277" max="11277" width="6.85546875" style="18" customWidth="1"/>
    <col min="11278" max="11278" width="7.5703125" style="18" customWidth="1"/>
    <col min="11279" max="11284" width="0" style="18" hidden="1" customWidth="1"/>
    <col min="11285" max="11520" width="9.140625" style="18"/>
    <col min="11521" max="11521" width="2.85546875" style="18" customWidth="1"/>
    <col min="11522" max="11522" width="8.5703125" style="18" customWidth="1"/>
    <col min="11523" max="11530" width="9.7109375" style="18" customWidth="1"/>
    <col min="11531" max="11531" width="8.5703125" style="18" customWidth="1"/>
    <col min="11532" max="11532" width="2.85546875" style="18" customWidth="1"/>
    <col min="11533" max="11533" width="6.85546875" style="18" customWidth="1"/>
    <col min="11534" max="11534" width="7.5703125" style="18" customWidth="1"/>
    <col min="11535" max="11540" width="0" style="18" hidden="1" customWidth="1"/>
    <col min="11541" max="11776" width="9.140625" style="18"/>
    <col min="11777" max="11777" width="2.85546875" style="18" customWidth="1"/>
    <col min="11778" max="11778" width="8.5703125" style="18" customWidth="1"/>
    <col min="11779" max="11786" width="9.7109375" style="18" customWidth="1"/>
    <col min="11787" max="11787" width="8.5703125" style="18" customWidth="1"/>
    <col min="11788" max="11788" width="2.85546875" style="18" customWidth="1"/>
    <col min="11789" max="11789" width="6.85546875" style="18" customWidth="1"/>
    <col min="11790" max="11790" width="7.5703125" style="18" customWidth="1"/>
    <col min="11791" max="11796" width="0" style="18" hidden="1" customWidth="1"/>
    <col min="11797" max="12032" width="9.140625" style="18"/>
    <col min="12033" max="12033" width="2.85546875" style="18" customWidth="1"/>
    <col min="12034" max="12034" width="8.5703125" style="18" customWidth="1"/>
    <col min="12035" max="12042" width="9.7109375" style="18" customWidth="1"/>
    <col min="12043" max="12043" width="8.5703125" style="18" customWidth="1"/>
    <col min="12044" max="12044" width="2.85546875" style="18" customWidth="1"/>
    <col min="12045" max="12045" width="6.85546875" style="18" customWidth="1"/>
    <col min="12046" max="12046" width="7.5703125" style="18" customWidth="1"/>
    <col min="12047" max="12052" width="0" style="18" hidden="1" customWidth="1"/>
    <col min="12053" max="12288" width="9.140625" style="18"/>
    <col min="12289" max="12289" width="2.85546875" style="18" customWidth="1"/>
    <col min="12290" max="12290" width="8.5703125" style="18" customWidth="1"/>
    <col min="12291" max="12298" width="9.7109375" style="18" customWidth="1"/>
    <col min="12299" max="12299" width="8.5703125" style="18" customWidth="1"/>
    <col min="12300" max="12300" width="2.85546875" style="18" customWidth="1"/>
    <col min="12301" max="12301" width="6.85546875" style="18" customWidth="1"/>
    <col min="12302" max="12302" width="7.5703125" style="18" customWidth="1"/>
    <col min="12303" max="12308" width="0" style="18" hidden="1" customWidth="1"/>
    <col min="12309" max="12544" width="9.140625" style="18"/>
    <col min="12545" max="12545" width="2.85546875" style="18" customWidth="1"/>
    <col min="12546" max="12546" width="8.5703125" style="18" customWidth="1"/>
    <col min="12547" max="12554" width="9.7109375" style="18" customWidth="1"/>
    <col min="12555" max="12555" width="8.5703125" style="18" customWidth="1"/>
    <col min="12556" max="12556" width="2.85546875" style="18" customWidth="1"/>
    <col min="12557" max="12557" width="6.85546875" style="18" customWidth="1"/>
    <col min="12558" max="12558" width="7.5703125" style="18" customWidth="1"/>
    <col min="12559" max="12564" width="0" style="18" hidden="1" customWidth="1"/>
    <col min="12565" max="12800" width="9.140625" style="18"/>
    <col min="12801" max="12801" width="2.85546875" style="18" customWidth="1"/>
    <col min="12802" max="12802" width="8.5703125" style="18" customWidth="1"/>
    <col min="12803" max="12810" width="9.7109375" style="18" customWidth="1"/>
    <col min="12811" max="12811" width="8.5703125" style="18" customWidth="1"/>
    <col min="12812" max="12812" width="2.85546875" style="18" customWidth="1"/>
    <col min="12813" max="12813" width="6.85546875" style="18" customWidth="1"/>
    <col min="12814" max="12814" width="7.5703125" style="18" customWidth="1"/>
    <col min="12815" max="12820" width="0" style="18" hidden="1" customWidth="1"/>
    <col min="12821" max="13056" width="9.140625" style="18"/>
    <col min="13057" max="13057" width="2.85546875" style="18" customWidth="1"/>
    <col min="13058" max="13058" width="8.5703125" style="18" customWidth="1"/>
    <col min="13059" max="13066" width="9.7109375" style="18" customWidth="1"/>
    <col min="13067" max="13067" width="8.5703125" style="18" customWidth="1"/>
    <col min="13068" max="13068" width="2.85546875" style="18" customWidth="1"/>
    <col min="13069" max="13069" width="6.85546875" style="18" customWidth="1"/>
    <col min="13070" max="13070" width="7.5703125" style="18" customWidth="1"/>
    <col min="13071" max="13076" width="0" style="18" hidden="1" customWidth="1"/>
    <col min="13077" max="13312" width="9.140625" style="18"/>
    <col min="13313" max="13313" width="2.85546875" style="18" customWidth="1"/>
    <col min="13314" max="13314" width="8.5703125" style="18" customWidth="1"/>
    <col min="13315" max="13322" width="9.7109375" style="18" customWidth="1"/>
    <col min="13323" max="13323" width="8.5703125" style="18" customWidth="1"/>
    <col min="13324" max="13324" width="2.85546875" style="18" customWidth="1"/>
    <col min="13325" max="13325" width="6.85546875" style="18" customWidth="1"/>
    <col min="13326" max="13326" width="7.5703125" style="18" customWidth="1"/>
    <col min="13327" max="13332" width="0" style="18" hidden="1" customWidth="1"/>
    <col min="13333" max="13568" width="9.140625" style="18"/>
    <col min="13569" max="13569" width="2.85546875" style="18" customWidth="1"/>
    <col min="13570" max="13570" width="8.5703125" style="18" customWidth="1"/>
    <col min="13571" max="13578" width="9.7109375" style="18" customWidth="1"/>
    <col min="13579" max="13579" width="8.5703125" style="18" customWidth="1"/>
    <col min="13580" max="13580" width="2.85546875" style="18" customWidth="1"/>
    <col min="13581" max="13581" width="6.85546875" style="18" customWidth="1"/>
    <col min="13582" max="13582" width="7.5703125" style="18" customWidth="1"/>
    <col min="13583" max="13588" width="0" style="18" hidden="1" customWidth="1"/>
    <col min="13589" max="13824" width="9.140625" style="18"/>
    <col min="13825" max="13825" width="2.85546875" style="18" customWidth="1"/>
    <col min="13826" max="13826" width="8.5703125" style="18" customWidth="1"/>
    <col min="13827" max="13834" width="9.7109375" style="18" customWidth="1"/>
    <col min="13835" max="13835" width="8.5703125" style="18" customWidth="1"/>
    <col min="13836" max="13836" width="2.85546875" style="18" customWidth="1"/>
    <col min="13837" max="13837" width="6.85546875" style="18" customWidth="1"/>
    <col min="13838" max="13838" width="7.5703125" style="18" customWidth="1"/>
    <col min="13839" max="13844" width="0" style="18" hidden="1" customWidth="1"/>
    <col min="13845" max="14080" width="9.140625" style="18"/>
    <col min="14081" max="14081" width="2.85546875" style="18" customWidth="1"/>
    <col min="14082" max="14082" width="8.5703125" style="18" customWidth="1"/>
    <col min="14083" max="14090" width="9.7109375" style="18" customWidth="1"/>
    <col min="14091" max="14091" width="8.5703125" style="18" customWidth="1"/>
    <col min="14092" max="14092" width="2.85546875" style="18" customWidth="1"/>
    <col min="14093" max="14093" width="6.85546875" style="18" customWidth="1"/>
    <col min="14094" max="14094" width="7.5703125" style="18" customWidth="1"/>
    <col min="14095" max="14100" width="0" style="18" hidden="1" customWidth="1"/>
    <col min="14101" max="14336" width="9.140625" style="18"/>
    <col min="14337" max="14337" width="2.85546875" style="18" customWidth="1"/>
    <col min="14338" max="14338" width="8.5703125" style="18" customWidth="1"/>
    <col min="14339" max="14346" width="9.7109375" style="18" customWidth="1"/>
    <col min="14347" max="14347" width="8.5703125" style="18" customWidth="1"/>
    <col min="14348" max="14348" width="2.85546875" style="18" customWidth="1"/>
    <col min="14349" max="14349" width="6.85546875" style="18" customWidth="1"/>
    <col min="14350" max="14350" width="7.5703125" style="18" customWidth="1"/>
    <col min="14351" max="14356" width="0" style="18" hidden="1" customWidth="1"/>
    <col min="14357" max="14592" width="9.140625" style="18"/>
    <col min="14593" max="14593" width="2.85546875" style="18" customWidth="1"/>
    <col min="14594" max="14594" width="8.5703125" style="18" customWidth="1"/>
    <col min="14595" max="14602" width="9.7109375" style="18" customWidth="1"/>
    <col min="14603" max="14603" width="8.5703125" style="18" customWidth="1"/>
    <col min="14604" max="14604" width="2.85546875" style="18" customWidth="1"/>
    <col min="14605" max="14605" width="6.85546875" style="18" customWidth="1"/>
    <col min="14606" max="14606" width="7.5703125" style="18" customWidth="1"/>
    <col min="14607" max="14612" width="0" style="18" hidden="1" customWidth="1"/>
    <col min="14613" max="14848" width="9.140625" style="18"/>
    <col min="14849" max="14849" width="2.85546875" style="18" customWidth="1"/>
    <col min="14850" max="14850" width="8.5703125" style="18" customWidth="1"/>
    <col min="14851" max="14858" width="9.7109375" style="18" customWidth="1"/>
    <col min="14859" max="14859" width="8.5703125" style="18" customWidth="1"/>
    <col min="14860" max="14860" width="2.85546875" style="18" customWidth="1"/>
    <col min="14861" max="14861" width="6.85546875" style="18" customWidth="1"/>
    <col min="14862" max="14862" width="7.5703125" style="18" customWidth="1"/>
    <col min="14863" max="14868" width="0" style="18" hidden="1" customWidth="1"/>
    <col min="14869" max="15104" width="9.140625" style="18"/>
    <col min="15105" max="15105" width="2.85546875" style="18" customWidth="1"/>
    <col min="15106" max="15106" width="8.5703125" style="18" customWidth="1"/>
    <col min="15107" max="15114" width="9.7109375" style="18" customWidth="1"/>
    <col min="15115" max="15115" width="8.5703125" style="18" customWidth="1"/>
    <col min="15116" max="15116" width="2.85546875" style="18" customWidth="1"/>
    <col min="15117" max="15117" width="6.85546875" style="18" customWidth="1"/>
    <col min="15118" max="15118" width="7.5703125" style="18" customWidth="1"/>
    <col min="15119" max="15124" width="0" style="18" hidden="1" customWidth="1"/>
    <col min="15125" max="15360" width="9.140625" style="18"/>
    <col min="15361" max="15361" width="2.85546875" style="18" customWidth="1"/>
    <col min="15362" max="15362" width="8.5703125" style="18" customWidth="1"/>
    <col min="15363" max="15370" width="9.7109375" style="18" customWidth="1"/>
    <col min="15371" max="15371" width="8.5703125" style="18" customWidth="1"/>
    <col min="15372" max="15372" width="2.85546875" style="18" customWidth="1"/>
    <col min="15373" max="15373" width="6.85546875" style="18" customWidth="1"/>
    <col min="15374" max="15374" width="7.5703125" style="18" customWidth="1"/>
    <col min="15375" max="15380" width="0" style="18" hidden="1" customWidth="1"/>
    <col min="15381" max="15616" width="9.140625" style="18"/>
    <col min="15617" max="15617" width="2.85546875" style="18" customWidth="1"/>
    <col min="15618" max="15618" width="8.5703125" style="18" customWidth="1"/>
    <col min="15619" max="15626" width="9.7109375" style="18" customWidth="1"/>
    <col min="15627" max="15627" width="8.5703125" style="18" customWidth="1"/>
    <col min="15628" max="15628" width="2.85546875" style="18" customWidth="1"/>
    <col min="15629" max="15629" width="6.85546875" style="18" customWidth="1"/>
    <col min="15630" max="15630" width="7.5703125" style="18" customWidth="1"/>
    <col min="15631" max="15636" width="0" style="18" hidden="1" customWidth="1"/>
    <col min="15637" max="15872" width="9.140625" style="18"/>
    <col min="15873" max="15873" width="2.85546875" style="18" customWidth="1"/>
    <col min="15874" max="15874" width="8.5703125" style="18" customWidth="1"/>
    <col min="15875" max="15882" width="9.7109375" style="18" customWidth="1"/>
    <col min="15883" max="15883" width="8.5703125" style="18" customWidth="1"/>
    <col min="15884" max="15884" width="2.85546875" style="18" customWidth="1"/>
    <col min="15885" max="15885" width="6.85546875" style="18" customWidth="1"/>
    <col min="15886" max="15886" width="7.5703125" style="18" customWidth="1"/>
    <col min="15887" max="15892" width="0" style="18" hidden="1" customWidth="1"/>
    <col min="15893" max="16128" width="9.140625" style="18"/>
    <col min="16129" max="16129" width="2.85546875" style="18" customWidth="1"/>
    <col min="16130" max="16130" width="8.5703125" style="18" customWidth="1"/>
    <col min="16131" max="16138" width="9.7109375" style="18" customWidth="1"/>
    <col min="16139" max="16139" width="8.5703125" style="18" customWidth="1"/>
    <col min="16140" max="16140" width="2.85546875" style="18" customWidth="1"/>
    <col min="16141" max="16141" width="6.85546875" style="18" customWidth="1"/>
    <col min="16142" max="16142" width="7.5703125" style="18" customWidth="1"/>
    <col min="16143" max="16148" width="0" style="18" hidden="1" customWidth="1"/>
    <col min="16149" max="16384" width="9.140625" style="18"/>
  </cols>
  <sheetData>
    <row r="1" spans="1:19">
      <c r="A1" s="17"/>
      <c r="B1" s="125" t="s">
        <v>100</v>
      </c>
      <c r="C1" s="125"/>
      <c r="D1" s="125"/>
      <c r="E1" s="125"/>
      <c r="F1" s="125"/>
      <c r="G1" s="126" t="s">
        <v>17</v>
      </c>
      <c r="H1" s="126"/>
      <c r="I1" s="126"/>
      <c r="J1" s="126"/>
      <c r="K1" s="126"/>
      <c r="P1" s="19"/>
      <c r="Q1" s="19"/>
      <c r="R1" s="19"/>
      <c r="S1" s="19"/>
    </row>
    <row r="2" spans="1:19" ht="12.75" customHeight="1">
      <c r="B2" s="20"/>
      <c r="C2" s="21"/>
      <c r="D2" s="21"/>
      <c r="E2" s="21"/>
      <c r="F2" s="21"/>
      <c r="G2" s="21"/>
      <c r="H2" s="21"/>
      <c r="I2" s="21"/>
      <c r="J2" s="21"/>
      <c r="K2" s="22"/>
      <c r="P2" s="19"/>
      <c r="Q2" s="19"/>
      <c r="R2" s="19"/>
      <c r="S2" s="19"/>
    </row>
    <row r="3" spans="1:19" ht="12.75" customHeight="1">
      <c r="B3" s="23"/>
      <c r="C3" s="127" t="s">
        <v>13</v>
      </c>
      <c r="D3" s="127"/>
      <c r="E3" s="127"/>
      <c r="F3" s="127"/>
      <c r="G3" s="128" t="s">
        <v>14</v>
      </c>
      <c r="H3" s="128"/>
      <c r="I3" s="128"/>
      <c r="J3" s="128"/>
      <c r="K3" s="24"/>
      <c r="P3" s="19"/>
      <c r="Q3" s="19"/>
      <c r="R3" s="19"/>
      <c r="S3" s="19"/>
    </row>
    <row r="4" spans="1:19" ht="12.75" customHeight="1">
      <c r="B4" s="23"/>
      <c r="C4" s="129" t="s">
        <v>15</v>
      </c>
      <c r="D4" s="129"/>
      <c r="E4" s="129"/>
      <c r="F4" s="129"/>
      <c r="G4" s="130" t="s">
        <v>16</v>
      </c>
      <c r="H4" s="130"/>
      <c r="I4" s="130"/>
      <c r="J4" s="130"/>
      <c r="K4" s="24"/>
      <c r="P4" s="19"/>
      <c r="Q4" s="19"/>
      <c r="R4" s="19"/>
      <c r="S4" s="19"/>
    </row>
    <row r="5" spans="1:19" ht="12.75" customHeight="1">
      <c r="B5" s="25"/>
      <c r="C5" s="26"/>
      <c r="D5" s="26"/>
      <c r="E5" s="26"/>
      <c r="F5" s="26"/>
      <c r="G5" s="26"/>
      <c r="H5" s="26"/>
      <c r="I5" s="26"/>
      <c r="J5" s="26"/>
      <c r="K5" s="27"/>
      <c r="M5" s="131"/>
      <c r="N5" s="131"/>
      <c r="P5" s="19"/>
      <c r="Q5" s="19"/>
      <c r="R5" s="19"/>
      <c r="S5" s="19"/>
    </row>
    <row r="6" spans="1:19" ht="12.75" customHeight="1"/>
    <row r="7" spans="1:19" ht="12.75" customHeight="1">
      <c r="B7" s="20"/>
      <c r="C7" s="132" t="s">
        <v>19</v>
      </c>
      <c r="D7" s="132"/>
      <c r="E7" s="132"/>
      <c r="F7" s="132"/>
      <c r="G7" s="132"/>
      <c r="H7" s="132"/>
      <c r="I7" s="132"/>
      <c r="J7" s="132"/>
      <c r="K7" s="28"/>
    </row>
    <row r="8" spans="1:19" ht="12.75" customHeight="1">
      <c r="B8" s="23"/>
      <c r="C8" s="127"/>
      <c r="D8" s="127"/>
      <c r="E8" s="127"/>
      <c r="F8" s="127"/>
      <c r="G8" s="127"/>
      <c r="H8" s="127"/>
      <c r="I8" s="127"/>
      <c r="J8" s="127"/>
      <c r="K8" s="29"/>
    </row>
    <row r="9" spans="1:19" ht="12.75" customHeight="1">
      <c r="B9" s="23"/>
      <c r="C9" s="127"/>
      <c r="D9" s="127"/>
      <c r="E9" s="127"/>
      <c r="F9" s="127"/>
      <c r="G9" s="127"/>
      <c r="H9" s="127"/>
      <c r="I9" s="127"/>
      <c r="J9" s="127"/>
      <c r="K9" s="29"/>
    </row>
    <row r="10" spans="1:19" ht="12.75" customHeight="1">
      <c r="B10" s="30"/>
      <c r="C10" s="133"/>
      <c r="D10" s="133"/>
      <c r="E10" s="133"/>
      <c r="F10" s="133"/>
      <c r="G10" s="133"/>
      <c r="H10" s="133"/>
      <c r="I10" s="133"/>
      <c r="J10" s="133"/>
      <c r="K10" s="31"/>
    </row>
    <row r="11" spans="1:19" ht="12.75" customHeight="1"/>
    <row r="12" spans="1:19" ht="17.100000000000001" customHeight="1">
      <c r="B12" s="20"/>
      <c r="C12" s="21"/>
      <c r="D12" s="21"/>
      <c r="E12" s="21"/>
      <c r="F12" s="21"/>
      <c r="G12" s="21"/>
      <c r="H12" s="21"/>
      <c r="I12" s="21"/>
      <c r="J12" s="21"/>
      <c r="K12" s="22"/>
    </row>
    <row r="13" spans="1:19" ht="17.100000000000001" customHeight="1">
      <c r="B13" s="23"/>
      <c r="C13" s="134" t="s">
        <v>101</v>
      </c>
      <c r="D13" s="127"/>
      <c r="E13" s="127"/>
      <c r="F13" s="127"/>
      <c r="G13" s="127"/>
      <c r="H13" s="127"/>
      <c r="I13" s="127"/>
      <c r="J13" s="127"/>
      <c r="K13" s="24"/>
    </row>
    <row r="14" spans="1:19" ht="17.100000000000001" customHeight="1">
      <c r="B14" s="23"/>
      <c r="C14" s="127"/>
      <c r="D14" s="127"/>
      <c r="E14" s="127"/>
      <c r="F14" s="127"/>
      <c r="G14" s="127"/>
      <c r="H14" s="127"/>
      <c r="I14" s="127"/>
      <c r="J14" s="127"/>
      <c r="K14" s="24"/>
    </row>
    <row r="15" spans="1:19" ht="17.100000000000001" customHeight="1">
      <c r="B15" s="23"/>
      <c r="C15" s="127"/>
      <c r="D15" s="127"/>
      <c r="E15" s="127"/>
      <c r="F15" s="127"/>
      <c r="G15" s="127"/>
      <c r="H15" s="127"/>
      <c r="I15" s="127"/>
      <c r="J15" s="127"/>
      <c r="K15" s="24"/>
    </row>
    <row r="16" spans="1:19" ht="15" customHeight="1">
      <c r="B16" s="23"/>
      <c r="C16" s="127"/>
      <c r="D16" s="127"/>
      <c r="E16" s="127"/>
      <c r="F16" s="127"/>
      <c r="G16" s="127"/>
      <c r="H16" s="127"/>
      <c r="I16" s="127"/>
      <c r="J16" s="127"/>
      <c r="K16" s="24"/>
    </row>
    <row r="17" spans="2:11" ht="15" customHeight="1">
      <c r="B17" s="23"/>
      <c r="C17" s="127"/>
      <c r="D17" s="127"/>
      <c r="E17" s="127"/>
      <c r="F17" s="127"/>
      <c r="G17" s="127"/>
      <c r="H17" s="127"/>
      <c r="I17" s="127"/>
      <c r="J17" s="127"/>
      <c r="K17" s="24"/>
    </row>
    <row r="18" spans="2:11" ht="15" customHeight="1">
      <c r="B18" s="23"/>
      <c r="C18" s="127"/>
      <c r="D18" s="127"/>
      <c r="E18" s="127"/>
      <c r="F18" s="127"/>
      <c r="G18" s="127"/>
      <c r="H18" s="127"/>
      <c r="I18" s="127"/>
      <c r="J18" s="127"/>
      <c r="K18" s="24"/>
    </row>
    <row r="19" spans="2:11" ht="15" customHeight="1">
      <c r="B19" s="23"/>
      <c r="C19" s="127"/>
      <c r="D19" s="127"/>
      <c r="E19" s="127"/>
      <c r="F19" s="127"/>
      <c r="G19" s="127"/>
      <c r="H19" s="127"/>
      <c r="I19" s="127"/>
      <c r="J19" s="127"/>
      <c r="K19" s="24"/>
    </row>
    <row r="20" spans="2:11" ht="15" customHeight="1">
      <c r="B20" s="23"/>
      <c r="C20" s="127"/>
      <c r="D20" s="127"/>
      <c r="E20" s="127"/>
      <c r="F20" s="127"/>
      <c r="G20" s="127"/>
      <c r="H20" s="127"/>
      <c r="I20" s="127"/>
      <c r="J20" s="127"/>
      <c r="K20" s="24"/>
    </row>
    <row r="21" spans="2:11" ht="15" customHeight="1">
      <c r="B21" s="23"/>
      <c r="C21" s="127"/>
      <c r="D21" s="127"/>
      <c r="E21" s="127"/>
      <c r="F21" s="127"/>
      <c r="G21" s="127"/>
      <c r="H21" s="127"/>
      <c r="I21" s="127"/>
      <c r="J21" s="127"/>
      <c r="K21" s="24"/>
    </row>
    <row r="22" spans="2:11" ht="15" customHeight="1">
      <c r="B22" s="23"/>
      <c r="C22" s="127"/>
      <c r="D22" s="127"/>
      <c r="E22" s="127"/>
      <c r="F22" s="127"/>
      <c r="G22" s="127"/>
      <c r="H22" s="127"/>
      <c r="I22" s="127"/>
      <c r="J22" s="127"/>
      <c r="K22" s="24"/>
    </row>
    <row r="23" spans="2:11" ht="15" customHeight="1">
      <c r="B23" s="23"/>
      <c r="C23" s="127"/>
      <c r="D23" s="127"/>
      <c r="E23" s="127"/>
      <c r="F23" s="127"/>
      <c r="G23" s="127"/>
      <c r="H23" s="127"/>
      <c r="I23" s="127"/>
      <c r="J23" s="127"/>
      <c r="K23" s="24"/>
    </row>
    <row r="24" spans="2:11" ht="15" customHeight="1">
      <c r="B24" s="23"/>
      <c r="C24" s="127"/>
      <c r="D24" s="127"/>
      <c r="E24" s="127"/>
      <c r="F24" s="127"/>
      <c r="G24" s="127"/>
      <c r="H24" s="127"/>
      <c r="I24" s="127"/>
      <c r="J24" s="127"/>
      <c r="K24" s="24"/>
    </row>
    <row r="25" spans="2:11" ht="15" customHeight="1">
      <c r="B25" s="23"/>
      <c r="C25" s="127"/>
      <c r="D25" s="127"/>
      <c r="E25" s="127"/>
      <c r="F25" s="127"/>
      <c r="G25" s="127"/>
      <c r="H25" s="127"/>
      <c r="I25" s="127"/>
      <c r="J25" s="127"/>
      <c r="K25" s="24"/>
    </row>
    <row r="26" spans="2:11" ht="17.100000000000001" customHeight="1">
      <c r="B26" s="23"/>
      <c r="C26" s="127"/>
      <c r="D26" s="127"/>
      <c r="E26" s="127"/>
      <c r="F26" s="127"/>
      <c r="G26" s="127"/>
      <c r="H26" s="127"/>
      <c r="I26" s="127"/>
      <c r="J26" s="127"/>
      <c r="K26" s="24"/>
    </row>
    <row r="27" spans="2:11" ht="17.100000000000001" customHeight="1">
      <c r="B27" s="23"/>
      <c r="C27" s="127"/>
      <c r="D27" s="127"/>
      <c r="E27" s="127"/>
      <c r="F27" s="127"/>
      <c r="G27" s="127"/>
      <c r="H27" s="127"/>
      <c r="I27" s="127"/>
      <c r="J27" s="127"/>
      <c r="K27" s="24"/>
    </row>
    <row r="28" spans="2:11" ht="17.100000000000001" customHeight="1">
      <c r="B28" s="23"/>
      <c r="C28" s="127"/>
      <c r="D28" s="127"/>
      <c r="E28" s="127"/>
      <c r="F28" s="127"/>
      <c r="G28" s="127"/>
      <c r="H28" s="127"/>
      <c r="I28" s="127"/>
      <c r="J28" s="127"/>
      <c r="K28" s="24"/>
    </row>
    <row r="29" spans="2:11" ht="17.100000000000001" customHeight="1">
      <c r="B29" s="23"/>
      <c r="C29" s="127"/>
      <c r="D29" s="127"/>
      <c r="E29" s="127"/>
      <c r="F29" s="127"/>
      <c r="G29" s="127"/>
      <c r="H29" s="127"/>
      <c r="I29" s="127"/>
      <c r="J29" s="127"/>
      <c r="K29" s="24"/>
    </row>
    <row r="30" spans="2:11" ht="17.100000000000001" customHeight="1">
      <c r="B30" s="23"/>
      <c r="C30" s="127"/>
      <c r="D30" s="127"/>
      <c r="E30" s="127"/>
      <c r="F30" s="127"/>
      <c r="G30" s="127"/>
      <c r="H30" s="127"/>
      <c r="I30" s="127"/>
      <c r="J30" s="127"/>
      <c r="K30" s="24"/>
    </row>
    <row r="31" spans="2:11" ht="17.100000000000001" customHeight="1">
      <c r="B31" s="25"/>
      <c r="C31" s="26"/>
      <c r="D31" s="26"/>
      <c r="E31" s="26"/>
      <c r="F31" s="26"/>
      <c r="G31" s="26"/>
      <c r="H31" s="26"/>
      <c r="I31" s="26"/>
      <c r="J31" s="26"/>
      <c r="K31" s="27"/>
    </row>
    <row r="32" spans="2:11" ht="17.100000000000001" customHeight="1"/>
    <row r="33" spans="2:11" ht="12.75" customHeight="1">
      <c r="B33" s="20"/>
      <c r="C33" s="21"/>
      <c r="D33" s="21"/>
      <c r="E33" s="21"/>
      <c r="F33" s="21"/>
      <c r="G33" s="21"/>
      <c r="H33" s="21"/>
      <c r="I33" s="21"/>
      <c r="J33" s="21"/>
      <c r="K33" s="22"/>
    </row>
    <row r="34" spans="2:11" ht="12.75" customHeight="1">
      <c r="B34" s="23"/>
      <c r="C34" s="135" t="s">
        <v>102</v>
      </c>
      <c r="D34" s="135"/>
      <c r="E34" s="135"/>
      <c r="F34" s="135"/>
      <c r="G34" s="135"/>
      <c r="H34" s="135"/>
      <c r="I34" s="135"/>
      <c r="J34" s="135"/>
      <c r="K34" s="24"/>
    </row>
    <row r="35" spans="2:11" ht="26.25" customHeight="1">
      <c r="B35" s="23"/>
      <c r="C35" s="135"/>
      <c r="D35" s="135"/>
      <c r="E35" s="135"/>
      <c r="F35" s="135"/>
      <c r="G35" s="135"/>
      <c r="H35" s="135"/>
      <c r="I35" s="135"/>
      <c r="J35" s="135"/>
      <c r="K35" s="24"/>
    </row>
    <row r="36" spans="2:11">
      <c r="B36" s="23"/>
      <c r="C36" s="135"/>
      <c r="D36" s="135"/>
      <c r="E36" s="135"/>
      <c r="F36" s="135"/>
      <c r="G36" s="135"/>
      <c r="H36" s="135"/>
      <c r="I36" s="135"/>
      <c r="J36" s="135"/>
      <c r="K36" s="24"/>
    </row>
    <row r="37" spans="2:11">
      <c r="B37" s="23"/>
      <c r="C37" s="135"/>
      <c r="D37" s="135"/>
      <c r="E37" s="135"/>
      <c r="F37" s="135"/>
      <c r="G37" s="135"/>
      <c r="H37" s="135"/>
      <c r="I37" s="135"/>
      <c r="J37" s="135"/>
      <c r="K37" s="24"/>
    </row>
    <row r="38" spans="2:11">
      <c r="B38" s="25"/>
      <c r="C38" s="26"/>
      <c r="D38" s="26"/>
      <c r="E38" s="26"/>
      <c r="F38" s="26"/>
      <c r="G38" s="26"/>
      <c r="H38" s="26"/>
      <c r="I38" s="26"/>
      <c r="J38" s="26"/>
      <c r="K38" s="27"/>
    </row>
    <row r="40" spans="2:11">
      <c r="B40" s="20"/>
      <c r="C40" s="21"/>
      <c r="D40" s="21"/>
      <c r="E40" s="21"/>
      <c r="F40" s="21"/>
      <c r="G40" s="21"/>
      <c r="H40" s="21"/>
      <c r="I40" s="21"/>
      <c r="J40" s="21"/>
      <c r="K40" s="22"/>
    </row>
    <row r="41" spans="2:11" ht="16.5" customHeight="1">
      <c r="B41" s="23"/>
      <c r="C41" s="127" t="s">
        <v>97</v>
      </c>
      <c r="D41" s="127"/>
      <c r="E41" s="127"/>
      <c r="F41" s="127"/>
      <c r="G41" s="127"/>
      <c r="H41" s="127"/>
      <c r="I41" s="127"/>
      <c r="J41" s="127"/>
      <c r="K41" s="24"/>
    </row>
    <row r="42" spans="2:11" ht="18" customHeight="1">
      <c r="B42" s="23"/>
      <c r="C42" s="127"/>
      <c r="D42" s="127"/>
      <c r="E42" s="127"/>
      <c r="F42" s="127"/>
      <c r="G42" s="127"/>
      <c r="H42" s="127"/>
      <c r="I42" s="127"/>
      <c r="J42" s="127"/>
      <c r="K42" s="24"/>
    </row>
    <row r="43" spans="2:11" ht="18" customHeight="1">
      <c r="B43" s="23"/>
      <c r="C43" s="127"/>
      <c r="D43" s="127"/>
      <c r="E43" s="127"/>
      <c r="F43" s="127"/>
      <c r="G43" s="127"/>
      <c r="H43" s="127"/>
      <c r="I43" s="127"/>
      <c r="J43" s="127"/>
      <c r="K43" s="24"/>
    </row>
    <row r="44" spans="2:11" ht="19.5" customHeight="1">
      <c r="B44" s="23"/>
      <c r="C44" s="127"/>
      <c r="D44" s="127"/>
      <c r="E44" s="127"/>
      <c r="F44" s="127"/>
      <c r="G44" s="127"/>
      <c r="H44" s="127"/>
      <c r="I44" s="127"/>
      <c r="J44" s="127"/>
      <c r="K44" s="24"/>
    </row>
    <row r="45" spans="2:11">
      <c r="B45" s="25"/>
      <c r="C45" s="26"/>
      <c r="D45" s="26"/>
      <c r="E45" s="26"/>
      <c r="F45" s="26"/>
      <c r="G45" s="26"/>
      <c r="H45" s="26"/>
      <c r="I45" s="26"/>
      <c r="J45" s="26"/>
      <c r="K45" s="27"/>
    </row>
    <row r="50" spans="4:4">
      <c r="D50" s="32"/>
    </row>
  </sheetData>
  <mergeCells count="11">
    <mergeCell ref="M5:N5"/>
    <mergeCell ref="C7:J10"/>
    <mergeCell ref="C13:J30"/>
    <mergeCell ref="C34:J37"/>
    <mergeCell ref="C41:J44"/>
    <mergeCell ref="B1:F1"/>
    <mergeCell ref="G1:K1"/>
    <mergeCell ref="C3:F3"/>
    <mergeCell ref="G3:J3"/>
    <mergeCell ref="C4:F4"/>
    <mergeCell ref="G4:J4"/>
  </mergeCells>
  <hyperlinks>
    <hyperlink ref="C4" r:id="rId1" xr:uid="{00000000-0004-0000-0100-000000000000}"/>
    <hyperlink ref="G4" r:id="rId2" xr:uid="{00000000-0004-0000-0100-000001000000}"/>
  </hyperlinks>
  <pageMargins left="0.75" right="0.75" top="1" bottom="1" header="0.5" footer="0.5"/>
  <pageSetup paperSize="9" scale="91" orientation="portrait" r:id="rId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portal frame</vt:lpstr>
      <vt:lpstr>from author</vt:lpstr>
      <vt:lpstr>myrange</vt:lpstr>
      <vt:lpstr>'portal frame'!Print_Area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ziom</dc:creator>
  <cp:lastModifiedBy>Dineshkumar</cp:lastModifiedBy>
  <cp:lastPrinted>2016-08-06T15:02:00Z</cp:lastPrinted>
  <dcterms:created xsi:type="dcterms:W3CDTF">2006-09-16T00:00:00Z</dcterms:created>
  <dcterms:modified xsi:type="dcterms:W3CDTF">2023-04-06T16:06:36Z</dcterms:modified>
</cp:coreProperties>
</file>